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KPI_Dashboard" sheetId="1" state="visible" r:id="rId3"/>
    <sheet name="Raw_Data" sheetId="2" state="visible" r:id="rId4"/>
    <sheet name="Data_Quality" sheetId="3" state="visible" r:id="rId5"/>
    <sheet name="Calculated_Fields" sheetId="4" state="visible" r:id="rId6"/>
    <sheet name="Pivot_Summary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<sst xmlns="http://schemas.openxmlformats.org/spreadsheetml/2006/main" count="423" uniqueCount="221">
  <si>
    <t xml:space="preserve">E-COMMERCE SALES PERFORMANCE — KPI DASHBOARD</t>
  </si>
  <si>
    <t xml:space="preserve">Prototype dataset: 25 orders | Jan 2026</t>
  </si>
  <si>
    <t xml:space="preserve">Total Revenue</t>
  </si>
  <si>
    <t xml:space="preserve">Average Order Value</t>
  </si>
  <si>
    <t xml:space="preserve">Total Profit</t>
  </si>
  <si>
    <t xml:space="preserve">Profit Margin %</t>
  </si>
  <si>
    <t xml:space="preserve">Total Orders</t>
  </si>
  <si>
    <t xml:space="preserve">Conversion Rate %</t>
  </si>
  <si>
    <t xml:space="preserve">Total Customers</t>
  </si>
  <si>
    <t xml:space="preserve">Return Rate %</t>
  </si>
  <si>
    <t xml:space="preserve">Order_ID</t>
  </si>
  <si>
    <t xml:space="preserve">Order_Date</t>
  </si>
  <si>
    <t xml:space="preserve">Order_Time</t>
  </si>
  <si>
    <t xml:space="preserve">Customer_ID</t>
  </si>
  <si>
    <t xml:space="preserve">Gender</t>
  </si>
  <si>
    <t xml:space="preserve">Age</t>
  </si>
  <si>
    <t xml:space="preserve">City</t>
  </si>
  <si>
    <t xml:space="preserve">Region</t>
  </si>
  <si>
    <t xml:space="preserve">Product_Name</t>
  </si>
  <si>
    <t xml:space="preserve">Category</t>
  </si>
  <si>
    <t xml:space="preserve">Quantity</t>
  </si>
  <si>
    <t xml:space="preserve">Unit_Price</t>
  </si>
  <si>
    <t xml:space="preserve">Discount</t>
  </si>
  <si>
    <t xml:space="preserve">Cost</t>
  </si>
  <si>
    <t xml:space="preserve">Payment_Method</t>
  </si>
  <si>
    <t xml:space="preserve">Order_Status</t>
  </si>
  <si>
    <t xml:space="preserve">Customer_Type</t>
  </si>
  <si>
    <t xml:space="preserve">Session_Duration</t>
  </si>
  <si>
    <t xml:space="preserve">Pages_Viewed</t>
  </si>
  <si>
    <t xml:space="preserve">Order_Completed</t>
  </si>
  <si>
    <t xml:space="preserve">Shipping_Days</t>
  </si>
  <si>
    <t xml:space="preserve">Return_Status</t>
  </si>
  <si>
    <t xml:space="preserve">ORD1001</t>
  </si>
  <si>
    <t xml:space="preserve">2026-01-03</t>
  </si>
  <si>
    <t xml:space="preserve">10:15</t>
  </si>
  <si>
    <t xml:space="preserve">CU001</t>
  </si>
  <si>
    <t xml:space="preserve">Male</t>
  </si>
  <si>
    <t xml:space="preserve">Chennai</t>
  </si>
  <si>
    <t xml:space="preserve">South</t>
  </si>
  <si>
    <t xml:space="preserve">Wireless Mouse</t>
  </si>
  <si>
    <t xml:space="preserve">Electronics</t>
  </si>
  <si>
    <t xml:space="preserve">UPI</t>
  </si>
  <si>
    <t xml:space="preserve">Delivered</t>
  </si>
  <si>
    <t xml:space="preserve">New</t>
  </si>
  <si>
    <t xml:space="preserve">No</t>
  </si>
  <si>
    <t xml:space="preserve">ORD1002</t>
  </si>
  <si>
    <t xml:space="preserve">2026-01-04</t>
  </si>
  <si>
    <t xml:space="preserve">14:20</t>
  </si>
  <si>
    <t xml:space="preserve">CU002</t>
  </si>
  <si>
    <t xml:space="preserve">Female</t>
  </si>
  <si>
    <t xml:space="preserve">Bangalore</t>
  </si>
  <si>
    <t xml:space="preserve">Running Shoes</t>
  </si>
  <si>
    <t xml:space="preserve">Fashion</t>
  </si>
  <si>
    <t xml:space="preserve">Card</t>
  </si>
  <si>
    <t xml:space="preserve">Returning</t>
  </si>
  <si>
    <t xml:space="preserve">ORD1003</t>
  </si>
  <si>
    <t xml:space="preserve">2026-01-05</t>
  </si>
  <si>
    <t xml:space="preserve">19:45</t>
  </si>
  <si>
    <t xml:space="preserve">CU003</t>
  </si>
  <si>
    <t xml:space="preserve">Hyderabad</t>
  </si>
  <si>
    <t xml:space="preserve">Smart Watch</t>
  </si>
  <si>
    <t xml:space="preserve">ORD1004</t>
  </si>
  <si>
    <t xml:space="preserve">2026-01-06</t>
  </si>
  <si>
    <t xml:space="preserve">21:10</t>
  </si>
  <si>
    <t xml:space="preserve">CU004</t>
  </si>
  <si>
    <t xml:space="preserve">Mumbai</t>
  </si>
  <si>
    <t xml:space="preserve">West</t>
  </si>
  <si>
    <t xml:space="preserve">Backpack</t>
  </si>
  <si>
    <t xml:space="preserve">Yes</t>
  </si>
  <si>
    <t xml:space="preserve">ORD1005</t>
  </si>
  <si>
    <t xml:space="preserve">2026-01-07</t>
  </si>
  <si>
    <t xml:space="preserve">11:30</t>
  </si>
  <si>
    <t xml:space="preserve">CU005</t>
  </si>
  <si>
    <t xml:space="preserve">Delhi</t>
  </si>
  <si>
    <t xml:space="preserve">North</t>
  </si>
  <si>
    <t xml:space="preserve">Office Chair</t>
  </si>
  <si>
    <t xml:space="preserve">Furniture</t>
  </si>
  <si>
    <t xml:space="preserve">Net Banking</t>
  </si>
  <si>
    <t xml:space="preserve">ORD1006</t>
  </si>
  <si>
    <t xml:space="preserve">2026-01-08</t>
  </si>
  <si>
    <t xml:space="preserve">16:05</t>
  </si>
  <si>
    <t xml:space="preserve">CU006</t>
  </si>
  <si>
    <t xml:space="preserve">Coimbatore</t>
  </si>
  <si>
    <t xml:space="preserve">Bluetooth Speaker</t>
  </si>
  <si>
    <t xml:space="preserve">ORD1007</t>
  </si>
  <si>
    <t xml:space="preserve">2026-01-09</t>
  </si>
  <si>
    <t xml:space="preserve">20:35</t>
  </si>
  <si>
    <t xml:space="preserve">CU007</t>
  </si>
  <si>
    <t xml:space="preserve">Pune</t>
  </si>
  <si>
    <t xml:space="preserve">Jeans</t>
  </si>
  <si>
    <t xml:space="preserve">ORD1008</t>
  </si>
  <si>
    <t xml:space="preserve">2026-01-10</t>
  </si>
  <si>
    <t xml:space="preserve">09:50</t>
  </si>
  <si>
    <t xml:space="preserve">CU008</t>
  </si>
  <si>
    <t xml:space="preserve">Kochi</t>
  </si>
  <si>
    <t xml:space="preserve">Coffee Maker</t>
  </si>
  <si>
    <t xml:space="preserve">Home Appliances</t>
  </si>
  <si>
    <t xml:space="preserve">ORD1009</t>
  </si>
  <si>
    <t xml:space="preserve">2026-01-11</t>
  </si>
  <si>
    <t xml:space="preserve">18:25</t>
  </si>
  <si>
    <t xml:space="preserve">CU009</t>
  </si>
  <si>
    <t xml:space="preserve">Kolkata</t>
  </si>
  <si>
    <t xml:space="preserve">East</t>
  </si>
  <si>
    <t xml:space="preserve">Keyboard</t>
  </si>
  <si>
    <t xml:space="preserve">Cancelled</t>
  </si>
  <si>
    <t xml:space="preserve">ORD1010</t>
  </si>
  <si>
    <t xml:space="preserve">2026-01-12</t>
  </si>
  <si>
    <t xml:space="preserve">22:15</t>
  </si>
  <si>
    <t xml:space="preserve">CU010</t>
  </si>
  <si>
    <t xml:space="preserve">Handbag</t>
  </si>
  <si>
    <t xml:space="preserve">ORD1011</t>
  </si>
  <si>
    <t xml:space="preserve">2026-01-13</t>
  </si>
  <si>
    <t xml:space="preserve">13:40</t>
  </si>
  <si>
    <t xml:space="preserve">CU011</t>
  </si>
  <si>
    <t xml:space="preserve">Monitor</t>
  </si>
  <si>
    <t xml:space="preserve">ORD1012</t>
  </si>
  <si>
    <t xml:space="preserve">2026-01-14</t>
  </si>
  <si>
    <t xml:space="preserve">17:55</t>
  </si>
  <si>
    <t xml:space="preserve">CU012</t>
  </si>
  <si>
    <t xml:space="preserve">Yoga Mat</t>
  </si>
  <si>
    <t xml:space="preserve">Sports</t>
  </si>
  <si>
    <t xml:space="preserve">ORD1013</t>
  </si>
  <si>
    <t xml:space="preserve">2026-01-15</t>
  </si>
  <si>
    <t xml:space="preserve">20:20</t>
  </si>
  <si>
    <t xml:space="preserve">CU013</t>
  </si>
  <si>
    <t xml:space="preserve">Air Fryer</t>
  </si>
  <si>
    <t xml:space="preserve">ORD1014</t>
  </si>
  <si>
    <t xml:space="preserve">2026-01-16</t>
  </si>
  <si>
    <t xml:space="preserve">12:10</t>
  </si>
  <si>
    <t xml:space="preserve">CU014</t>
  </si>
  <si>
    <t xml:space="preserve">Smartphone</t>
  </si>
  <si>
    <t xml:space="preserve">ORD1015</t>
  </si>
  <si>
    <t xml:space="preserve">2026-01-17</t>
  </si>
  <si>
    <t xml:space="preserve">19:05</t>
  </si>
  <si>
    <t xml:space="preserve">CU015</t>
  </si>
  <si>
    <t xml:space="preserve">T-Shirt</t>
  </si>
  <si>
    <t xml:space="preserve">ORD1016</t>
  </si>
  <si>
    <t xml:space="preserve">2026-01-18</t>
  </si>
  <si>
    <t xml:space="preserve">15:35</t>
  </si>
  <si>
    <t xml:space="preserve">CU016</t>
  </si>
  <si>
    <t xml:space="preserve">Table Lamp</t>
  </si>
  <si>
    <t xml:space="preserve">ORD1017</t>
  </si>
  <si>
    <t xml:space="preserve">2026-01-19</t>
  </si>
  <si>
    <t xml:space="preserve">21:45</t>
  </si>
  <si>
    <t xml:space="preserve">CU017</t>
  </si>
  <si>
    <t xml:space="preserve">Power Bank</t>
  </si>
  <si>
    <t xml:space="preserve">ORD1018</t>
  </si>
  <si>
    <t xml:space="preserve">2026-01-20</t>
  </si>
  <si>
    <t xml:space="preserve">10:55</t>
  </si>
  <si>
    <t xml:space="preserve">CU018</t>
  </si>
  <si>
    <t xml:space="preserve">Formal Shoes</t>
  </si>
  <si>
    <t xml:space="preserve">ORD1019</t>
  </si>
  <si>
    <t xml:space="preserve">2026-01-21</t>
  </si>
  <si>
    <t xml:space="preserve">18:40</t>
  </si>
  <si>
    <t xml:space="preserve">CU019</t>
  </si>
  <si>
    <t xml:space="preserve">Books</t>
  </si>
  <si>
    <t xml:space="preserve">ORD1020</t>
  </si>
  <si>
    <t xml:space="preserve">2026-01-22</t>
  </si>
  <si>
    <t xml:space="preserve">20:50</t>
  </si>
  <si>
    <t xml:space="preserve">CU020</t>
  </si>
  <si>
    <t xml:space="preserve">Headphones</t>
  </si>
  <si>
    <t xml:space="preserve">ORD1021</t>
  </si>
  <si>
    <t xml:space="preserve">2026-01-23</t>
  </si>
  <si>
    <t xml:space="preserve">11:15</t>
  </si>
  <si>
    <t xml:space="preserve">CU021</t>
  </si>
  <si>
    <t xml:space="preserve">Electric Kettle</t>
  </si>
  <si>
    <t xml:space="preserve">ORD1022</t>
  </si>
  <si>
    <t xml:space="preserve">2026-01-24</t>
  </si>
  <si>
    <t xml:space="preserve">16:30</t>
  </si>
  <si>
    <t xml:space="preserve">CU022</t>
  </si>
  <si>
    <t xml:space="preserve">Dress</t>
  </si>
  <si>
    <t xml:space="preserve">ORD1023</t>
  </si>
  <si>
    <t xml:space="preserve">2026-01-25</t>
  </si>
  <si>
    <t xml:space="preserve">19:55</t>
  </si>
  <si>
    <t xml:space="preserve">CU023</t>
  </si>
  <si>
    <t xml:space="preserve">USB Cable</t>
  </si>
  <si>
    <t xml:space="preserve">ORD1024</t>
  </si>
  <si>
    <t xml:space="preserve">2026-01-26</t>
  </si>
  <si>
    <t xml:space="preserve">21:25</t>
  </si>
  <si>
    <t xml:space="preserve">CU024</t>
  </si>
  <si>
    <t xml:space="preserve">Air Purifier</t>
  </si>
  <si>
    <t xml:space="preserve">ORD1025</t>
  </si>
  <si>
    <t xml:space="preserve">2026-01-27</t>
  </si>
  <si>
    <t xml:space="preserve">14:45</t>
  </si>
  <si>
    <t xml:space="preserve">CU025</t>
  </si>
  <si>
    <t xml:space="preserve">Laptop Stand</t>
  </si>
  <si>
    <t xml:space="preserve">DATA QUALITY CHECKS</t>
  </si>
  <si>
    <t xml:space="preserve">Check</t>
  </si>
  <si>
    <t xml:space="preserve">Result</t>
  </si>
  <si>
    <t xml:space="preserve">Formula Used</t>
  </si>
  <si>
    <t xml:space="preserve">Total rows</t>
  </si>
  <si>
    <t xml:space="preserve">COUNTA</t>
  </si>
  <si>
    <t xml:space="preserve">Duplicate Order_IDs</t>
  </si>
  <si>
    <t xml:space="preserve">SUMPRODUCT + COUNTIF</t>
  </si>
  <si>
    <t xml:space="preserve">Missing values (any column, row-count)</t>
  </si>
  <si>
    <t xml:space="preserve">SUMPRODUCT + COUNTBLANK (row-wise not directly supported; see note)</t>
  </si>
  <si>
    <t xml:space="preserve">Missing Order_ID cells</t>
  </si>
  <si>
    <t xml:space="preserve">COUNTBLANK</t>
  </si>
  <si>
    <t xml:space="preserve">Missing Customer_ID cells</t>
  </si>
  <si>
    <t xml:space="preserve">Negative or zero Unit_Price</t>
  </si>
  <si>
    <t xml:space="preserve">COUNTIF</t>
  </si>
  <si>
    <t xml:space="preserve">Discount out of range (&gt;0.5)</t>
  </si>
  <si>
    <t xml:space="preserve">Duplicate full rows (Order_ID basis)</t>
  </si>
  <si>
    <t xml:space="preserve">Duplicate pair count</t>
  </si>
  <si>
    <t xml:space="preserve">Conclusion:</t>
  </si>
  <si>
    <t xml:space="preserve">Prototype dataset (25 rows) contains 0 duplicate Order_IDs and 0 missing critical fields (Order_ID, Customer_ID, Unit_Price). Data is clean and ready for analysis.</t>
  </si>
  <si>
    <t xml:space="preserve">Order_Hour</t>
  </si>
  <si>
    <t xml:space="preserve">Customer_Segment</t>
  </si>
  <si>
    <t xml:space="preserve">Category (via lookup)</t>
  </si>
  <si>
    <t xml:space="preserve">Revenue</t>
  </si>
  <si>
    <t xml:space="preserve">Discount_Amount</t>
  </si>
  <si>
    <t xml:space="preserve">Profit</t>
  </si>
  <si>
    <t xml:space="preserve">Profit_Margin_%</t>
  </si>
  <si>
    <t xml:space="preserve">Note: Excel's newer XLOOKUP() is used conceptually as the lookup approach (=XLOOKUP(A2,Raw_Data!Order_ID,Raw_Data!Category)); this workbook implements the same result with INDEX/MATCH for maximum compatibility across Excel versions.</t>
  </si>
  <si>
    <t xml:space="preserve">PIVOT-STYLE SUMMARY (SUMIFS / COUNTIFS)</t>
  </si>
  <si>
    <t xml:space="preserve">Tip: Select Raw_Data range and Insert &gt; PivotTable in Excel for a native, drag-and-drop pivot.</t>
  </si>
  <si>
    <t xml:space="preserve">Revenue &amp; Orders by Category</t>
  </si>
  <si>
    <t xml:space="preserve">Orders</t>
  </si>
  <si>
    <t xml:space="preserve">Revenue &amp; Orders by Region</t>
  </si>
  <si>
    <t xml:space="preserve">New vs Returning Customers</t>
  </si>
  <si>
    <t xml:space="preserve">Orders by Payment Method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</si>
</sst>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0"/>
    <numFmt numFmtId="166" formatCode="0.0%"/>
    <numFmt numFmtId="167" formatCode="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Arial"/>
      <family val="0"/>
      <charset val="1"/>
    </font>
    <font>
      <i val="true"/>
      <sz val="10"/>
      <color rgb="FF80808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3"/>
      <color rgb="FF1F4E78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1F4E78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EAF1F8"/>
        <bgColor rgb="FFFFFFFF"/>
      </patternFill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C0504D"/>
      <rgbColor rgb="FFFFFFCC"/>
      <rgbColor rgb="FFEAF1F8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BBB59"/>
      <rgbColor rgb="FFFFCC00"/>
      <rgbColor rgb="FFFF9900"/>
      <rgbColor rgb="FFFF6600"/>
      <rgbColor rgb="FF8064A2"/>
      <rgbColor rgb="FF878787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Pivot_Summary!C5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Pivot_Summary!$A$6:$A$11</c:f>
              <c:strCache>
                <c:ptCount val="6"/>
                <c:pt idx="0">
                  <c:v>Books</c:v>
                </c:pt>
                <c:pt idx="1">
                  <c:v>Electronics</c:v>
                </c:pt>
                <c:pt idx="2">
                  <c:v>Fashion</c:v>
                </c:pt>
                <c:pt idx="3">
                  <c:v>Furniture</c:v>
                </c:pt>
                <c:pt idx="4">
                  <c:v>Home Appliances</c:v>
                </c:pt>
                <c:pt idx="5">
                  <c:v>Sports</c:v>
                </c:pt>
              </c:strCache>
            </c:strRef>
          </c:cat>
          <c:val>
            <c:numRef>
              <c:f>Pivot_Summary!$C$6:$C$11</c:f>
              <c:numCache>
                <c:formatCode>#,##0.00</c:formatCode>
                <c:ptCount val="6"/>
                <c:pt idx="0">
                  <c:v>2370.25</c:v>
                </c:pt>
                <c:pt idx="1">
                  <c:v>45558.22</c:v>
                </c:pt>
                <c:pt idx="2">
                  <c:v>21733.74</c:v>
                </c:pt>
                <c:pt idx="3">
                  <c:v>6649.05</c:v>
                </c:pt>
                <c:pt idx="4">
                  <c:v>19167.44</c:v>
                </c:pt>
                <c:pt idx="5">
                  <c:v>1708.1</c:v>
                </c:pt>
              </c:numCache>
            </c:numRef>
          </c:val>
        </c:ser>
        <c:gapWidth val="150"/>
        <c:overlap val="0"/>
        <c:axId val="26227027"/>
        <c:axId val="91580442"/>
      </c:barChart>
      <c:catAx>
        <c:axId val="2622702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Category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1580442"/>
        <c:crosses val="autoZero"/>
        <c:auto val="1"/>
        <c:lblAlgn val="ctr"/>
        <c:lblOffset val="100"/>
        <c:noMultiLvlLbl val="0"/>
      </c:catAx>
      <c:valAx>
        <c:axId val="9158044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 (INR)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622702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Share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Pivot_Summary!C15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Pivot_Summary!$A$16:$A$19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Pivot_Summary!$C$16:$C$19</c:f>
              <c:numCache>
                <c:formatCode>#,##0.00</c:formatCode>
                <c:ptCount val="4"/>
                <c:pt idx="0">
                  <c:v>4468.13</c:v>
                </c:pt>
                <c:pt idx="1">
                  <c:v>17298.38</c:v>
                </c:pt>
                <c:pt idx="2">
                  <c:v>54151.73</c:v>
                </c:pt>
                <c:pt idx="3">
                  <c:v>21268.56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2</xdr:row>
      <xdr:rowOff>160920</xdr:rowOff>
    </xdr:from>
    <xdr:to>
      <xdr:col>12</xdr:col>
      <xdr:colOff>351360</xdr:colOff>
      <xdr:row>19</xdr:row>
      <xdr:rowOff>162000</xdr:rowOff>
    </xdr:to>
    <xdr:graphicFrame>
      <xdr:nvGraphicFramePr>
        <xdr:cNvPr id="0" name="Chart 1"/>
        <xdr:cNvGraphicFramePr/>
      </xdr:nvGraphicFramePr>
      <xdr:xfrm>
        <a:off x="4793040" y="57168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0</xdr:colOff>
      <xdr:row>20</xdr:row>
      <xdr:rowOff>160920</xdr:rowOff>
    </xdr:from>
    <xdr:to>
      <xdr:col>12</xdr:col>
      <xdr:colOff>351360</xdr:colOff>
      <xdr:row>37</xdr:row>
      <xdr:rowOff>162000</xdr:rowOff>
    </xdr:to>
    <xdr:graphicFrame>
      <xdr:nvGraphicFramePr>
        <xdr:cNvPr id="1" name="Chart 2"/>
        <xdr:cNvGraphicFramePr/>
      </xdr:nvGraphicFramePr>
      <xdr:xfrm>
        <a:off x="4793040" y="400068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6"/>
    <col collapsed="false" customWidth="true" hidden="false" outlineLevel="0" max="3" min="3" style="0" width="4"/>
    <col collapsed="false" customWidth="true" hidden="false" outlineLevel="0" max="4" min="4" style="0" width="22"/>
    <col collapsed="false" customWidth="true" hidden="false" outlineLevel="0" max="5" min="5" style="0" width="16"/>
  </cols>
  <sheetData>
    <row r="1" customFormat="false" ht="19.7" hidden="false" customHeight="false" outlineLevel="0" collapsed="false">
      <c r="A1" s="1" t="s">
        <v>0</v>
      </c>
      <c r="B1" s="1"/>
      <c r="C1" s="1"/>
      <c r="D1" s="1"/>
    </row>
    <row r="2" customFormat="false" ht="15" hidden="false" customHeight="false" outlineLevel="0" collapsed="false">
      <c r="A2" s="2" t="s">
        <v>1</v>
      </c>
    </row>
    <row r="4" customFormat="false" ht="21.75" hidden="false" customHeight="true" outlineLevel="0" collapsed="false">
      <c r="A4" s="3" t="s">
        <v>2</v>
      </c>
      <c r="B4" s="4" t="n">
        <f aca="false">SUMPRODUCT((Raw_Data!T2:T26=1)*Raw_Data!K2:K26*Raw_Data!L2:L26*(1-Raw_Data!M2:M26))</f>
        <v>95477.75</v>
      </c>
      <c r="D4" s="3" t="s">
        <v>3</v>
      </c>
      <c r="E4" s="4" t="n">
        <f aca="false">B4/SUM(Raw_Data!T2:T26)</f>
        <v>3978.23958333333</v>
      </c>
    </row>
    <row r="6" customFormat="false" ht="21.75" hidden="false" customHeight="true" outlineLevel="0" collapsed="false">
      <c r="A6" s="3" t="s">
        <v>4</v>
      </c>
      <c r="B6" s="4" t="n">
        <f aca="false">SUMPRODUCT((Raw_Data!T2:T26=1)*(Raw_Data!K2:K26*Raw_Data!L2:L26*(1-Raw_Data!M2:M26)-Raw_Data!N2:N26))</f>
        <v>23877.75</v>
      </c>
      <c r="D6" s="3" t="s">
        <v>5</v>
      </c>
      <c r="E6" s="5" t="n">
        <f aca="false">B6/B4</f>
        <v>0.250087062168935</v>
      </c>
    </row>
    <row r="8" customFormat="false" ht="21.75" hidden="false" customHeight="true" outlineLevel="0" collapsed="false">
      <c r="A8" s="3" t="s">
        <v>6</v>
      </c>
      <c r="B8" s="6" t="n">
        <f aca="false">COUNTA(Raw_Data!A2:A26)</f>
        <v>25</v>
      </c>
      <c r="D8" s="3" t="s">
        <v>7</v>
      </c>
      <c r="E8" s="5" t="n">
        <f aca="false">SUM(Raw_Data!T2:T26)/25</f>
        <v>0.96</v>
      </c>
    </row>
    <row r="10" customFormat="false" ht="21.75" hidden="false" customHeight="true" outlineLevel="0" collapsed="false">
      <c r="A10" s="3" t="s">
        <v>8</v>
      </c>
      <c r="B10" s="6" t="n">
        <f aca="false">SUMPRODUCT(1/COUNTIF(Raw_Data!D2:D26,Raw_Data!D2:D26))</f>
        <v>25</v>
      </c>
      <c r="D10" s="3" t="s">
        <v>9</v>
      </c>
      <c r="E10" s="5" t="n">
        <f aca="false">COUNTIF(Raw_Data!V2:V26,"Yes")/SUM(Raw_Data!T2:T26)</f>
        <v>0.0833333333333333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2"/>
    <col collapsed="false" customWidth="true" hidden="false" outlineLevel="0" max="4" min="4" style="0" width="13"/>
    <col collapsed="false" customWidth="true" hidden="false" outlineLevel="0" max="8" min="5" style="0" width="12"/>
    <col collapsed="false" customWidth="true" hidden="false" outlineLevel="0" max="9" min="9" style="0" width="14"/>
    <col collapsed="false" customWidth="true" hidden="false" outlineLevel="0" max="14" min="10" style="0" width="12"/>
    <col collapsed="false" customWidth="true" hidden="false" outlineLevel="0" max="15" min="15" style="0" width="16"/>
    <col collapsed="false" customWidth="true" hidden="false" outlineLevel="0" max="16" min="16" style="0" width="14"/>
    <col collapsed="false" customWidth="true" hidden="false" outlineLevel="0" max="17" min="17" style="0" width="15"/>
    <col collapsed="false" customWidth="true" hidden="false" outlineLevel="0" max="18" min="18" style="0" width="18"/>
    <col collapsed="false" customWidth="true" hidden="false" outlineLevel="0" max="19" min="19" style="0" width="14"/>
    <col collapsed="false" customWidth="true" hidden="false" outlineLevel="0" max="20" min="20" style="0" width="17"/>
    <col collapsed="false" customWidth="true" hidden="false" outlineLevel="0" max="22" min="21" style="0" width="15"/>
  </cols>
  <sheetData>
    <row r="1" customFormat="false" ht="15" hidden="false" customHeight="false" outlineLevel="0" collapsed="false">
      <c r="A1" s="7" t="s">
        <v>10</v>
      </c>
      <c r="B1" s="7" t="s">
        <v>11</v>
      </c>
      <c r="C1" s="7" t="s">
        <v>12</v>
      </c>
      <c r="D1" s="7" t="s">
        <v>13</v>
      </c>
      <c r="E1" s="7" t="s">
        <v>14</v>
      </c>
      <c r="F1" s="7" t="s">
        <v>15</v>
      </c>
      <c r="G1" s="7" t="s">
        <v>16</v>
      </c>
      <c r="H1" s="7" t="s">
        <v>17</v>
      </c>
      <c r="I1" s="7" t="s">
        <v>18</v>
      </c>
      <c r="J1" s="7" t="s">
        <v>19</v>
      </c>
      <c r="K1" s="7" t="s">
        <v>20</v>
      </c>
      <c r="L1" s="7" t="s">
        <v>21</v>
      </c>
      <c r="M1" s="7" t="s">
        <v>22</v>
      </c>
      <c r="N1" s="7" t="s">
        <v>23</v>
      </c>
      <c r="O1" s="7" t="s">
        <v>24</v>
      </c>
      <c r="P1" s="7" t="s">
        <v>25</v>
      </c>
      <c r="Q1" s="7" t="s">
        <v>26</v>
      </c>
      <c r="R1" s="7" t="s">
        <v>27</v>
      </c>
      <c r="S1" s="7" t="s">
        <v>28</v>
      </c>
      <c r="T1" s="7" t="s">
        <v>29</v>
      </c>
      <c r="U1" s="7" t="s">
        <v>30</v>
      </c>
      <c r="V1" s="7" t="s">
        <v>31</v>
      </c>
    </row>
    <row r="2" customFormat="false" ht="15" hidden="false" customHeight="false" outlineLevel="0" collapsed="false">
      <c r="A2" s="8" t="s">
        <v>32</v>
      </c>
      <c r="B2" s="8" t="s">
        <v>33</v>
      </c>
      <c r="C2" s="8" t="s">
        <v>34</v>
      </c>
      <c r="D2" s="8" t="s">
        <v>35</v>
      </c>
      <c r="E2" s="8" t="s">
        <v>36</v>
      </c>
      <c r="F2" s="8" t="n">
        <v>24</v>
      </c>
      <c r="G2" s="8" t="s">
        <v>37</v>
      </c>
      <c r="H2" s="8" t="s">
        <v>38</v>
      </c>
      <c r="I2" s="8" t="s">
        <v>39</v>
      </c>
      <c r="J2" s="8" t="s">
        <v>40</v>
      </c>
      <c r="K2" s="8" t="n">
        <v>2</v>
      </c>
      <c r="L2" s="8" t="n">
        <v>799</v>
      </c>
      <c r="M2" s="8" t="n">
        <v>0.05</v>
      </c>
      <c r="N2" s="8" t="n">
        <v>1100</v>
      </c>
      <c r="O2" s="8" t="s">
        <v>41</v>
      </c>
      <c r="P2" s="8" t="s">
        <v>42</v>
      </c>
      <c r="Q2" s="8" t="s">
        <v>43</v>
      </c>
      <c r="R2" s="8" t="n">
        <v>8.5</v>
      </c>
      <c r="S2" s="8" t="n">
        <v>6</v>
      </c>
      <c r="T2" s="8" t="n">
        <v>1</v>
      </c>
      <c r="U2" s="8" t="n">
        <v>3</v>
      </c>
      <c r="V2" s="8" t="s">
        <v>44</v>
      </c>
    </row>
    <row r="3" customFormat="false" ht="15" hidden="false" customHeight="false" outlineLevel="0" collapsed="false">
      <c r="A3" s="8" t="s">
        <v>45</v>
      </c>
      <c r="B3" s="8" t="s">
        <v>46</v>
      </c>
      <c r="C3" s="8" t="s">
        <v>47</v>
      </c>
      <c r="D3" s="8" t="s">
        <v>48</v>
      </c>
      <c r="E3" s="8" t="s">
        <v>49</v>
      </c>
      <c r="F3" s="8" t="n">
        <v>29</v>
      </c>
      <c r="G3" s="8" t="s">
        <v>50</v>
      </c>
      <c r="H3" s="8" t="s">
        <v>38</v>
      </c>
      <c r="I3" s="8" t="s">
        <v>51</v>
      </c>
      <c r="J3" s="8" t="s">
        <v>52</v>
      </c>
      <c r="K3" s="8" t="n">
        <v>1</v>
      </c>
      <c r="L3" s="8" t="n">
        <v>2499</v>
      </c>
      <c r="M3" s="8" t="n">
        <v>0.1</v>
      </c>
      <c r="N3" s="8" t="n">
        <v>1500</v>
      </c>
      <c r="O3" s="8" t="s">
        <v>53</v>
      </c>
      <c r="P3" s="8" t="s">
        <v>42</v>
      </c>
      <c r="Q3" s="8" t="s">
        <v>54</v>
      </c>
      <c r="R3" s="8" t="n">
        <v>12.2</v>
      </c>
      <c r="S3" s="8" t="n">
        <v>9</v>
      </c>
      <c r="T3" s="8" t="n">
        <v>1</v>
      </c>
      <c r="U3" s="8" t="n">
        <v>4</v>
      </c>
      <c r="V3" s="8" t="s">
        <v>44</v>
      </c>
    </row>
    <row r="4" customFormat="false" ht="15" hidden="false" customHeight="false" outlineLevel="0" collapsed="false">
      <c r="A4" s="8" t="s">
        <v>55</v>
      </c>
      <c r="B4" s="8" t="s">
        <v>56</v>
      </c>
      <c r="C4" s="8" t="s">
        <v>57</v>
      </c>
      <c r="D4" s="8" t="s">
        <v>58</v>
      </c>
      <c r="E4" s="8" t="s">
        <v>36</v>
      </c>
      <c r="F4" s="8" t="n">
        <v>34</v>
      </c>
      <c r="G4" s="8" t="s">
        <v>59</v>
      </c>
      <c r="H4" s="8" t="s">
        <v>38</v>
      </c>
      <c r="I4" s="8" t="s">
        <v>60</v>
      </c>
      <c r="J4" s="8" t="s">
        <v>40</v>
      </c>
      <c r="K4" s="8" t="n">
        <v>1</v>
      </c>
      <c r="L4" s="8" t="n">
        <v>3999</v>
      </c>
      <c r="M4" s="8" t="n">
        <v>0.08</v>
      </c>
      <c r="N4" s="8" t="n">
        <v>2700</v>
      </c>
      <c r="O4" s="8" t="s">
        <v>41</v>
      </c>
      <c r="P4" s="8" t="s">
        <v>42</v>
      </c>
      <c r="Q4" s="8" t="s">
        <v>43</v>
      </c>
      <c r="R4" s="8" t="n">
        <v>15.4</v>
      </c>
      <c r="S4" s="8" t="n">
        <v>11</v>
      </c>
      <c r="T4" s="8" t="n">
        <v>1</v>
      </c>
      <c r="U4" s="8" t="n">
        <v>3</v>
      </c>
      <c r="V4" s="8" t="s">
        <v>44</v>
      </c>
    </row>
    <row r="5" customFormat="false" ht="15" hidden="false" customHeight="false" outlineLevel="0" collapsed="false">
      <c r="A5" s="8" t="s">
        <v>61</v>
      </c>
      <c r="B5" s="8" t="s">
        <v>62</v>
      </c>
      <c r="C5" s="8" t="s">
        <v>63</v>
      </c>
      <c r="D5" s="8" t="s">
        <v>64</v>
      </c>
      <c r="E5" s="8" t="s">
        <v>49</v>
      </c>
      <c r="F5" s="8" t="n">
        <v>26</v>
      </c>
      <c r="G5" s="8" t="s">
        <v>65</v>
      </c>
      <c r="H5" s="8" t="s">
        <v>66</v>
      </c>
      <c r="I5" s="8" t="s">
        <v>67</v>
      </c>
      <c r="J5" s="8" t="s">
        <v>52</v>
      </c>
      <c r="K5" s="8" t="n">
        <v>2</v>
      </c>
      <c r="L5" s="8" t="n">
        <v>1499</v>
      </c>
      <c r="M5" s="8" t="n">
        <v>0.15</v>
      </c>
      <c r="N5" s="8" t="n">
        <v>1800</v>
      </c>
      <c r="O5" s="8" t="s">
        <v>53</v>
      </c>
      <c r="P5" s="8" t="s">
        <v>42</v>
      </c>
      <c r="Q5" s="8" t="s">
        <v>54</v>
      </c>
      <c r="R5" s="8" t="n">
        <v>9.8</v>
      </c>
      <c r="S5" s="8" t="n">
        <v>7</v>
      </c>
      <c r="T5" s="8" t="n">
        <v>1</v>
      </c>
      <c r="U5" s="8" t="n">
        <v>5</v>
      </c>
      <c r="V5" s="8" t="s">
        <v>68</v>
      </c>
    </row>
    <row r="6" customFormat="false" ht="15" hidden="false" customHeight="false" outlineLevel="0" collapsed="false">
      <c r="A6" s="8" t="s">
        <v>69</v>
      </c>
      <c r="B6" s="8" t="s">
        <v>70</v>
      </c>
      <c r="C6" s="8" t="s">
        <v>71</v>
      </c>
      <c r="D6" s="8" t="s">
        <v>72</v>
      </c>
      <c r="E6" s="8" t="s">
        <v>36</v>
      </c>
      <c r="F6" s="8" t="n">
        <v>41</v>
      </c>
      <c r="G6" s="8" t="s">
        <v>73</v>
      </c>
      <c r="H6" s="8" t="s">
        <v>74</v>
      </c>
      <c r="I6" s="8" t="s">
        <v>75</v>
      </c>
      <c r="J6" s="8" t="s">
        <v>76</v>
      </c>
      <c r="K6" s="8" t="n">
        <v>1</v>
      </c>
      <c r="L6" s="8" t="n">
        <v>6999</v>
      </c>
      <c r="M6" s="8" t="n">
        <v>0.05</v>
      </c>
      <c r="N6" s="8" t="n">
        <v>5200</v>
      </c>
      <c r="O6" s="8" t="s">
        <v>77</v>
      </c>
      <c r="P6" s="8" t="s">
        <v>42</v>
      </c>
      <c r="Q6" s="8" t="s">
        <v>54</v>
      </c>
      <c r="R6" s="8" t="n">
        <v>18.1</v>
      </c>
      <c r="S6" s="8" t="n">
        <v>13</v>
      </c>
      <c r="T6" s="8" t="n">
        <v>1</v>
      </c>
      <c r="U6" s="8" t="n">
        <v>6</v>
      </c>
      <c r="V6" s="8" t="s">
        <v>44</v>
      </c>
    </row>
    <row r="7" customFormat="false" ht="15" hidden="false" customHeight="false" outlineLevel="0" collapsed="false">
      <c r="A7" s="8" t="s">
        <v>78</v>
      </c>
      <c r="B7" s="8" t="s">
        <v>79</v>
      </c>
      <c r="C7" s="8" t="s">
        <v>80</v>
      </c>
      <c r="D7" s="8" t="s">
        <v>81</v>
      </c>
      <c r="E7" s="8" t="s">
        <v>49</v>
      </c>
      <c r="F7" s="8" t="n">
        <v>23</v>
      </c>
      <c r="G7" s="8" t="s">
        <v>82</v>
      </c>
      <c r="H7" s="8" t="s">
        <v>38</v>
      </c>
      <c r="I7" s="8" t="s">
        <v>83</v>
      </c>
      <c r="J7" s="8" t="s">
        <v>40</v>
      </c>
      <c r="K7" s="8" t="n">
        <v>2</v>
      </c>
      <c r="L7" s="8" t="n">
        <v>1299</v>
      </c>
      <c r="M7" s="8" t="n">
        <v>0.12</v>
      </c>
      <c r="N7" s="8" t="n">
        <v>1500</v>
      </c>
      <c r="O7" s="8" t="s">
        <v>41</v>
      </c>
      <c r="P7" s="8" t="s">
        <v>42</v>
      </c>
      <c r="Q7" s="8" t="s">
        <v>43</v>
      </c>
      <c r="R7" s="8" t="n">
        <v>7.4</v>
      </c>
      <c r="S7" s="8" t="n">
        <v>5</v>
      </c>
      <c r="T7" s="8" t="n">
        <v>1</v>
      </c>
      <c r="U7" s="8" t="n">
        <v>3</v>
      </c>
      <c r="V7" s="8" t="s">
        <v>44</v>
      </c>
    </row>
    <row r="8" customFormat="false" ht="15" hidden="false" customHeight="false" outlineLevel="0" collapsed="false">
      <c r="A8" s="8" t="s">
        <v>84</v>
      </c>
      <c r="B8" s="8" t="s">
        <v>85</v>
      </c>
      <c r="C8" s="8" t="s">
        <v>86</v>
      </c>
      <c r="D8" s="8" t="s">
        <v>87</v>
      </c>
      <c r="E8" s="8" t="s">
        <v>36</v>
      </c>
      <c r="F8" s="8" t="n">
        <v>31</v>
      </c>
      <c r="G8" s="8" t="s">
        <v>88</v>
      </c>
      <c r="H8" s="8" t="s">
        <v>66</v>
      </c>
      <c r="I8" s="8" t="s">
        <v>89</v>
      </c>
      <c r="J8" s="8" t="s">
        <v>52</v>
      </c>
      <c r="K8" s="8" t="n">
        <v>3</v>
      </c>
      <c r="L8" s="8" t="n">
        <v>1899</v>
      </c>
      <c r="M8" s="8" t="n">
        <v>0.1</v>
      </c>
      <c r="N8" s="8" t="n">
        <v>3600</v>
      </c>
      <c r="O8" s="8" t="s">
        <v>53</v>
      </c>
      <c r="P8" s="8" t="s">
        <v>42</v>
      </c>
      <c r="Q8" s="8" t="s">
        <v>54</v>
      </c>
      <c r="R8" s="8" t="n">
        <v>11.6</v>
      </c>
      <c r="S8" s="8" t="n">
        <v>8</v>
      </c>
      <c r="T8" s="8" t="n">
        <v>1</v>
      </c>
      <c r="U8" s="8" t="n">
        <v>4</v>
      </c>
      <c r="V8" s="8" t="s">
        <v>44</v>
      </c>
    </row>
    <row r="9" customFormat="false" ht="15" hidden="false" customHeight="false" outlineLevel="0" collapsed="false">
      <c r="A9" s="8" t="s">
        <v>90</v>
      </c>
      <c r="B9" s="8" t="s">
        <v>91</v>
      </c>
      <c r="C9" s="8" t="s">
        <v>92</v>
      </c>
      <c r="D9" s="8" t="s">
        <v>93</v>
      </c>
      <c r="E9" s="8" t="s">
        <v>49</v>
      </c>
      <c r="F9" s="8" t="n">
        <v>37</v>
      </c>
      <c r="G9" s="8" t="s">
        <v>94</v>
      </c>
      <c r="H9" s="8" t="s">
        <v>38</v>
      </c>
      <c r="I9" s="8" t="s">
        <v>95</v>
      </c>
      <c r="J9" s="8" t="s">
        <v>96</v>
      </c>
      <c r="K9" s="8" t="n">
        <v>1</v>
      </c>
      <c r="L9" s="8" t="n">
        <v>3299</v>
      </c>
      <c r="M9" s="8" t="n">
        <v>0.07</v>
      </c>
      <c r="N9" s="8" t="n">
        <v>2300</v>
      </c>
      <c r="O9" s="8" t="s">
        <v>41</v>
      </c>
      <c r="P9" s="8" t="s">
        <v>42</v>
      </c>
      <c r="Q9" s="8" t="s">
        <v>43</v>
      </c>
      <c r="R9" s="8" t="n">
        <v>14.3</v>
      </c>
      <c r="S9" s="8" t="n">
        <v>10</v>
      </c>
      <c r="T9" s="8" t="n">
        <v>1</v>
      </c>
      <c r="U9" s="8" t="n">
        <v>3</v>
      </c>
      <c r="V9" s="8" t="s">
        <v>44</v>
      </c>
    </row>
    <row r="10" customFormat="false" ht="15" hidden="false" customHeight="false" outlineLevel="0" collapsed="false">
      <c r="A10" s="8" t="s">
        <v>97</v>
      </c>
      <c r="B10" s="8" t="s">
        <v>98</v>
      </c>
      <c r="C10" s="8" t="s">
        <v>99</v>
      </c>
      <c r="D10" s="8" t="s">
        <v>100</v>
      </c>
      <c r="E10" s="8" t="s">
        <v>36</v>
      </c>
      <c r="F10" s="8" t="n">
        <v>28</v>
      </c>
      <c r="G10" s="8" t="s">
        <v>101</v>
      </c>
      <c r="H10" s="8" t="s">
        <v>102</v>
      </c>
      <c r="I10" s="8" t="s">
        <v>103</v>
      </c>
      <c r="J10" s="8" t="s">
        <v>40</v>
      </c>
      <c r="K10" s="8" t="n">
        <v>1</v>
      </c>
      <c r="L10" s="8" t="n">
        <v>1799</v>
      </c>
      <c r="M10" s="8" t="n">
        <v>0.05</v>
      </c>
      <c r="N10" s="8" t="n">
        <v>1200</v>
      </c>
      <c r="O10" s="8" t="s">
        <v>53</v>
      </c>
      <c r="P10" s="8" t="s">
        <v>104</v>
      </c>
      <c r="Q10" s="8" t="s">
        <v>43</v>
      </c>
      <c r="R10" s="8" t="n">
        <v>6.2</v>
      </c>
      <c r="S10" s="8" t="n">
        <v>4</v>
      </c>
      <c r="T10" s="8" t="n">
        <v>0</v>
      </c>
      <c r="U10" s="8" t="n">
        <v>0</v>
      </c>
      <c r="V10" s="8" t="s">
        <v>44</v>
      </c>
    </row>
    <row r="11" customFormat="false" ht="15" hidden="false" customHeight="false" outlineLevel="0" collapsed="false">
      <c r="A11" s="8" t="s">
        <v>105</v>
      </c>
      <c r="B11" s="8" t="s">
        <v>106</v>
      </c>
      <c r="C11" s="8" t="s">
        <v>107</v>
      </c>
      <c r="D11" s="8" t="s">
        <v>108</v>
      </c>
      <c r="E11" s="8" t="s">
        <v>49</v>
      </c>
      <c r="F11" s="8" t="n">
        <v>32</v>
      </c>
      <c r="G11" s="8" t="s">
        <v>37</v>
      </c>
      <c r="H11" s="8" t="s">
        <v>38</v>
      </c>
      <c r="I11" s="8" t="s">
        <v>109</v>
      </c>
      <c r="J11" s="8" t="s">
        <v>52</v>
      </c>
      <c r="K11" s="8" t="n">
        <v>1</v>
      </c>
      <c r="L11" s="8" t="n">
        <v>2799</v>
      </c>
      <c r="M11" s="8" t="n">
        <v>0.12</v>
      </c>
      <c r="N11" s="8" t="n">
        <v>1700</v>
      </c>
      <c r="O11" s="8" t="s">
        <v>41</v>
      </c>
      <c r="P11" s="8" t="s">
        <v>42</v>
      </c>
      <c r="Q11" s="8" t="s">
        <v>54</v>
      </c>
      <c r="R11" s="8" t="n">
        <v>13.7</v>
      </c>
      <c r="S11" s="8" t="n">
        <v>9</v>
      </c>
      <c r="T11" s="8" t="n">
        <v>1</v>
      </c>
      <c r="U11" s="8" t="n">
        <v>4</v>
      </c>
      <c r="V11" s="8" t="s">
        <v>44</v>
      </c>
    </row>
    <row r="12" customFormat="false" ht="15" hidden="false" customHeight="false" outlineLevel="0" collapsed="false">
      <c r="A12" s="8" t="s">
        <v>110</v>
      </c>
      <c r="B12" s="8" t="s">
        <v>111</v>
      </c>
      <c r="C12" s="8" t="s">
        <v>112</v>
      </c>
      <c r="D12" s="8" t="s">
        <v>113</v>
      </c>
      <c r="E12" s="8" t="s">
        <v>36</v>
      </c>
      <c r="F12" s="8" t="n">
        <v>45</v>
      </c>
      <c r="G12" s="8" t="s">
        <v>73</v>
      </c>
      <c r="H12" s="8" t="s">
        <v>74</v>
      </c>
      <c r="I12" s="8" t="s">
        <v>114</v>
      </c>
      <c r="J12" s="8" t="s">
        <v>40</v>
      </c>
      <c r="K12" s="8" t="n">
        <v>1</v>
      </c>
      <c r="L12" s="8" t="n">
        <v>8999</v>
      </c>
      <c r="M12" s="8" t="n">
        <v>0.08</v>
      </c>
      <c r="N12" s="8" t="n">
        <v>6900</v>
      </c>
      <c r="O12" s="8" t="s">
        <v>53</v>
      </c>
      <c r="P12" s="8" t="s">
        <v>42</v>
      </c>
      <c r="Q12" s="8" t="s">
        <v>54</v>
      </c>
      <c r="R12" s="8" t="n">
        <v>21.5</v>
      </c>
      <c r="S12" s="8" t="n">
        <v>15</v>
      </c>
      <c r="T12" s="8" t="n">
        <v>1</v>
      </c>
      <c r="U12" s="8" t="n">
        <v>5</v>
      </c>
      <c r="V12" s="8" t="s">
        <v>44</v>
      </c>
    </row>
    <row r="13" customFormat="false" ht="15" hidden="false" customHeight="false" outlineLevel="0" collapsed="false">
      <c r="A13" s="8" t="s">
        <v>115</v>
      </c>
      <c r="B13" s="8" t="s">
        <v>116</v>
      </c>
      <c r="C13" s="8" t="s">
        <v>117</v>
      </c>
      <c r="D13" s="8" t="s">
        <v>118</v>
      </c>
      <c r="E13" s="8" t="s">
        <v>49</v>
      </c>
      <c r="F13" s="8" t="n">
        <v>27</v>
      </c>
      <c r="G13" s="8" t="s">
        <v>50</v>
      </c>
      <c r="H13" s="8" t="s">
        <v>38</v>
      </c>
      <c r="I13" s="8" t="s">
        <v>119</v>
      </c>
      <c r="J13" s="8" t="s">
        <v>120</v>
      </c>
      <c r="K13" s="8" t="n">
        <v>2</v>
      </c>
      <c r="L13" s="8" t="n">
        <v>899</v>
      </c>
      <c r="M13" s="8" t="n">
        <v>0.05</v>
      </c>
      <c r="N13" s="8" t="n">
        <v>1000</v>
      </c>
      <c r="O13" s="8" t="s">
        <v>41</v>
      </c>
      <c r="P13" s="8" t="s">
        <v>42</v>
      </c>
      <c r="Q13" s="8" t="s">
        <v>43</v>
      </c>
      <c r="R13" s="8" t="n">
        <v>8.1</v>
      </c>
      <c r="S13" s="8" t="n">
        <v>6</v>
      </c>
      <c r="T13" s="8" t="n">
        <v>1</v>
      </c>
      <c r="U13" s="8" t="n">
        <v>3</v>
      </c>
      <c r="V13" s="8" t="s">
        <v>44</v>
      </c>
    </row>
    <row r="14" customFormat="false" ht="15" hidden="false" customHeight="false" outlineLevel="0" collapsed="false">
      <c r="A14" s="8" t="s">
        <v>121</v>
      </c>
      <c r="B14" s="8" t="s">
        <v>122</v>
      </c>
      <c r="C14" s="8" t="s">
        <v>123</v>
      </c>
      <c r="D14" s="8" t="s">
        <v>124</v>
      </c>
      <c r="E14" s="8" t="s">
        <v>36</v>
      </c>
      <c r="F14" s="8" t="n">
        <v>36</v>
      </c>
      <c r="G14" s="8" t="s">
        <v>65</v>
      </c>
      <c r="H14" s="8" t="s">
        <v>66</v>
      </c>
      <c r="I14" s="8" t="s">
        <v>125</v>
      </c>
      <c r="J14" s="8" t="s">
        <v>96</v>
      </c>
      <c r="K14" s="8" t="n">
        <v>1</v>
      </c>
      <c r="L14" s="8" t="n">
        <v>5499</v>
      </c>
      <c r="M14" s="8" t="n">
        <v>0.1</v>
      </c>
      <c r="N14" s="8" t="n">
        <v>3900</v>
      </c>
      <c r="O14" s="8" t="s">
        <v>53</v>
      </c>
      <c r="P14" s="8" t="s">
        <v>42</v>
      </c>
      <c r="Q14" s="8" t="s">
        <v>54</v>
      </c>
      <c r="R14" s="8" t="n">
        <v>16.8</v>
      </c>
      <c r="S14" s="8" t="n">
        <v>12</v>
      </c>
      <c r="T14" s="8" t="n">
        <v>1</v>
      </c>
      <c r="U14" s="8" t="n">
        <v>4</v>
      </c>
      <c r="V14" s="8" t="s">
        <v>44</v>
      </c>
    </row>
    <row r="15" customFormat="false" ht="15" hidden="false" customHeight="false" outlineLevel="0" collapsed="false">
      <c r="A15" s="8" t="s">
        <v>126</v>
      </c>
      <c r="B15" s="8" t="s">
        <v>127</v>
      </c>
      <c r="C15" s="8" t="s">
        <v>128</v>
      </c>
      <c r="D15" s="8" t="s">
        <v>129</v>
      </c>
      <c r="E15" s="8" t="s">
        <v>49</v>
      </c>
      <c r="F15" s="8" t="n">
        <v>30</v>
      </c>
      <c r="G15" s="8" t="s">
        <v>59</v>
      </c>
      <c r="H15" s="8" t="s">
        <v>38</v>
      </c>
      <c r="I15" s="8" t="s">
        <v>130</v>
      </c>
      <c r="J15" s="8" t="s">
        <v>40</v>
      </c>
      <c r="K15" s="8" t="n">
        <v>1</v>
      </c>
      <c r="L15" s="8" t="n">
        <v>18999</v>
      </c>
      <c r="M15" s="8" t="n">
        <v>0.06</v>
      </c>
      <c r="N15" s="8" t="n">
        <v>15500</v>
      </c>
      <c r="O15" s="8" t="s">
        <v>77</v>
      </c>
      <c r="P15" s="8" t="s">
        <v>42</v>
      </c>
      <c r="Q15" s="8" t="s">
        <v>43</v>
      </c>
      <c r="R15" s="8" t="n">
        <v>24.3</v>
      </c>
      <c r="S15" s="8" t="n">
        <v>17</v>
      </c>
      <c r="T15" s="8" t="n">
        <v>1</v>
      </c>
      <c r="U15" s="8" t="n">
        <v>5</v>
      </c>
      <c r="V15" s="8" t="s">
        <v>44</v>
      </c>
    </row>
    <row r="16" customFormat="false" ht="15" hidden="false" customHeight="false" outlineLevel="0" collapsed="false">
      <c r="A16" s="8" t="s">
        <v>131</v>
      </c>
      <c r="B16" s="8" t="s">
        <v>132</v>
      </c>
      <c r="C16" s="8" t="s">
        <v>133</v>
      </c>
      <c r="D16" s="8" t="s">
        <v>134</v>
      </c>
      <c r="E16" s="8" t="s">
        <v>36</v>
      </c>
      <c r="F16" s="8" t="n">
        <v>22</v>
      </c>
      <c r="G16" s="8" t="s">
        <v>88</v>
      </c>
      <c r="H16" s="8" t="s">
        <v>66</v>
      </c>
      <c r="I16" s="8" t="s">
        <v>135</v>
      </c>
      <c r="J16" s="8" t="s">
        <v>52</v>
      </c>
      <c r="K16" s="8" t="n">
        <v>4</v>
      </c>
      <c r="L16" s="8" t="n">
        <v>799</v>
      </c>
      <c r="M16" s="8" t="n">
        <v>0.15</v>
      </c>
      <c r="N16" s="8" t="n">
        <v>1900</v>
      </c>
      <c r="O16" s="8" t="s">
        <v>41</v>
      </c>
      <c r="P16" s="8" t="s">
        <v>42</v>
      </c>
      <c r="Q16" s="8" t="s">
        <v>43</v>
      </c>
      <c r="R16" s="8" t="n">
        <v>10.2</v>
      </c>
      <c r="S16" s="8" t="n">
        <v>7</v>
      </c>
      <c r="T16" s="8" t="n">
        <v>1</v>
      </c>
      <c r="U16" s="8" t="n">
        <v>3</v>
      </c>
      <c r="V16" s="8" t="s">
        <v>68</v>
      </c>
    </row>
    <row r="17" customFormat="false" ht="15" hidden="false" customHeight="false" outlineLevel="0" collapsed="false">
      <c r="A17" s="8" t="s">
        <v>136</v>
      </c>
      <c r="B17" s="8" t="s">
        <v>137</v>
      </c>
      <c r="C17" s="8" t="s">
        <v>138</v>
      </c>
      <c r="D17" s="8" t="s">
        <v>139</v>
      </c>
      <c r="E17" s="8" t="s">
        <v>49</v>
      </c>
      <c r="F17" s="8" t="n">
        <v>39</v>
      </c>
      <c r="G17" s="8" t="s">
        <v>94</v>
      </c>
      <c r="H17" s="8" t="s">
        <v>38</v>
      </c>
      <c r="I17" s="8" t="s">
        <v>140</v>
      </c>
      <c r="J17" s="8" t="s">
        <v>96</v>
      </c>
      <c r="K17" s="8" t="n">
        <v>2</v>
      </c>
      <c r="L17" s="8" t="n">
        <v>1199</v>
      </c>
      <c r="M17" s="8" t="n">
        <v>0.05</v>
      </c>
      <c r="N17" s="8" t="n">
        <v>1300</v>
      </c>
      <c r="O17" s="8" t="s">
        <v>53</v>
      </c>
      <c r="P17" s="8" t="s">
        <v>42</v>
      </c>
      <c r="Q17" s="8" t="s">
        <v>54</v>
      </c>
      <c r="R17" s="8" t="n">
        <v>7.9</v>
      </c>
      <c r="S17" s="8" t="n">
        <v>5</v>
      </c>
      <c r="T17" s="8" t="n">
        <v>1</v>
      </c>
      <c r="U17" s="8" t="n">
        <v>3</v>
      </c>
      <c r="V17" s="8" t="s">
        <v>44</v>
      </c>
    </row>
    <row r="18" customFormat="false" ht="15" hidden="false" customHeight="false" outlineLevel="0" collapsed="false">
      <c r="A18" s="8" t="s">
        <v>141</v>
      </c>
      <c r="B18" s="8" t="s">
        <v>142</v>
      </c>
      <c r="C18" s="8" t="s">
        <v>143</v>
      </c>
      <c r="D18" s="8" t="s">
        <v>144</v>
      </c>
      <c r="E18" s="8" t="s">
        <v>36</v>
      </c>
      <c r="F18" s="8" t="n">
        <v>33</v>
      </c>
      <c r="G18" s="8" t="s">
        <v>37</v>
      </c>
      <c r="H18" s="8" t="s">
        <v>38</v>
      </c>
      <c r="I18" s="8" t="s">
        <v>145</v>
      </c>
      <c r="J18" s="8" t="s">
        <v>40</v>
      </c>
      <c r="K18" s="8" t="n">
        <v>2</v>
      </c>
      <c r="L18" s="8" t="n">
        <v>1599</v>
      </c>
      <c r="M18" s="8" t="n">
        <v>0.1</v>
      </c>
      <c r="N18" s="8" t="n">
        <v>1900</v>
      </c>
      <c r="O18" s="8" t="s">
        <v>41</v>
      </c>
      <c r="P18" s="8" t="s">
        <v>42</v>
      </c>
      <c r="Q18" s="8" t="s">
        <v>54</v>
      </c>
      <c r="R18" s="8" t="n">
        <v>12.5</v>
      </c>
      <c r="S18" s="8" t="n">
        <v>9</v>
      </c>
      <c r="T18" s="8" t="n">
        <v>1</v>
      </c>
      <c r="U18" s="8" t="n">
        <v>4</v>
      </c>
      <c r="V18" s="8" t="s">
        <v>44</v>
      </c>
    </row>
    <row r="19" customFormat="false" ht="15" hidden="false" customHeight="false" outlineLevel="0" collapsed="false">
      <c r="A19" s="8" t="s">
        <v>146</v>
      </c>
      <c r="B19" s="8" t="s">
        <v>147</v>
      </c>
      <c r="C19" s="8" t="s">
        <v>148</v>
      </c>
      <c r="D19" s="8" t="s">
        <v>149</v>
      </c>
      <c r="E19" s="8" t="s">
        <v>49</v>
      </c>
      <c r="F19" s="8" t="n">
        <v>25</v>
      </c>
      <c r="G19" s="8" t="s">
        <v>101</v>
      </c>
      <c r="H19" s="8" t="s">
        <v>102</v>
      </c>
      <c r="I19" s="8" t="s">
        <v>150</v>
      </c>
      <c r="J19" s="8" t="s">
        <v>52</v>
      </c>
      <c r="K19" s="8" t="n">
        <v>1</v>
      </c>
      <c r="L19" s="8" t="n">
        <v>2999</v>
      </c>
      <c r="M19" s="8" t="n">
        <v>0.08</v>
      </c>
      <c r="N19" s="8" t="n">
        <v>2100</v>
      </c>
      <c r="O19" s="8" t="s">
        <v>53</v>
      </c>
      <c r="P19" s="8" t="s">
        <v>42</v>
      </c>
      <c r="Q19" s="8" t="s">
        <v>43</v>
      </c>
      <c r="R19" s="8" t="n">
        <v>14.9</v>
      </c>
      <c r="S19" s="8" t="n">
        <v>10</v>
      </c>
      <c r="T19" s="8" t="n">
        <v>1</v>
      </c>
      <c r="U19" s="8" t="n">
        <v>5</v>
      </c>
      <c r="V19" s="8" t="s">
        <v>44</v>
      </c>
    </row>
    <row r="20" customFormat="false" ht="15" hidden="false" customHeight="false" outlineLevel="0" collapsed="false">
      <c r="A20" s="8" t="s">
        <v>151</v>
      </c>
      <c r="B20" s="8" t="s">
        <v>152</v>
      </c>
      <c r="C20" s="8" t="s">
        <v>153</v>
      </c>
      <c r="D20" s="8" t="s">
        <v>154</v>
      </c>
      <c r="E20" s="8" t="s">
        <v>36</v>
      </c>
      <c r="F20" s="8" t="n">
        <v>48</v>
      </c>
      <c r="G20" s="8" t="s">
        <v>73</v>
      </c>
      <c r="H20" s="8" t="s">
        <v>74</v>
      </c>
      <c r="I20" s="8" t="s">
        <v>155</v>
      </c>
      <c r="J20" s="8" t="s">
        <v>155</v>
      </c>
      <c r="K20" s="8" t="n">
        <v>5</v>
      </c>
      <c r="L20" s="8" t="n">
        <v>499</v>
      </c>
      <c r="M20" s="8" t="n">
        <v>0.05</v>
      </c>
      <c r="N20" s="8" t="n">
        <v>1400</v>
      </c>
      <c r="O20" s="8" t="s">
        <v>41</v>
      </c>
      <c r="P20" s="8" t="s">
        <v>42</v>
      </c>
      <c r="Q20" s="8" t="s">
        <v>54</v>
      </c>
      <c r="R20" s="8" t="n">
        <v>9.1</v>
      </c>
      <c r="S20" s="8" t="n">
        <v>7</v>
      </c>
      <c r="T20" s="8" t="n">
        <v>1</v>
      </c>
      <c r="U20" s="8" t="n">
        <v>3</v>
      </c>
      <c r="V20" s="8" t="s">
        <v>44</v>
      </c>
    </row>
    <row r="21" customFormat="false" ht="15" hidden="false" customHeight="false" outlineLevel="0" collapsed="false">
      <c r="A21" s="8" t="s">
        <v>156</v>
      </c>
      <c r="B21" s="8" t="s">
        <v>157</v>
      </c>
      <c r="C21" s="8" t="s">
        <v>158</v>
      </c>
      <c r="D21" s="8" t="s">
        <v>159</v>
      </c>
      <c r="E21" s="8" t="s">
        <v>49</v>
      </c>
      <c r="F21" s="8" t="n">
        <v>35</v>
      </c>
      <c r="G21" s="8" t="s">
        <v>65</v>
      </c>
      <c r="H21" s="8" t="s">
        <v>66</v>
      </c>
      <c r="I21" s="8" t="s">
        <v>160</v>
      </c>
      <c r="J21" s="8" t="s">
        <v>40</v>
      </c>
      <c r="K21" s="8" t="n">
        <v>1</v>
      </c>
      <c r="L21" s="8" t="n">
        <v>2499</v>
      </c>
      <c r="M21" s="8" t="n">
        <v>0.1</v>
      </c>
      <c r="N21" s="8" t="n">
        <v>1600</v>
      </c>
      <c r="O21" s="8" t="s">
        <v>53</v>
      </c>
      <c r="P21" s="8" t="s">
        <v>42</v>
      </c>
      <c r="Q21" s="8" t="s">
        <v>54</v>
      </c>
      <c r="R21" s="8" t="n">
        <v>17.2</v>
      </c>
      <c r="S21" s="8" t="n">
        <v>12</v>
      </c>
      <c r="T21" s="8" t="n">
        <v>1</v>
      </c>
      <c r="U21" s="8" t="n">
        <v>4</v>
      </c>
      <c r="V21" s="8" t="s">
        <v>44</v>
      </c>
    </row>
    <row r="22" customFormat="false" ht="15" hidden="false" customHeight="false" outlineLevel="0" collapsed="false">
      <c r="A22" s="8" t="s">
        <v>161</v>
      </c>
      <c r="B22" s="8" t="s">
        <v>162</v>
      </c>
      <c r="C22" s="8" t="s">
        <v>163</v>
      </c>
      <c r="D22" s="8" t="s">
        <v>164</v>
      </c>
      <c r="E22" s="8" t="s">
        <v>36</v>
      </c>
      <c r="F22" s="8" t="n">
        <v>29</v>
      </c>
      <c r="G22" s="8" t="s">
        <v>82</v>
      </c>
      <c r="H22" s="8" t="s">
        <v>38</v>
      </c>
      <c r="I22" s="8" t="s">
        <v>165</v>
      </c>
      <c r="J22" s="8" t="s">
        <v>96</v>
      </c>
      <c r="K22" s="8" t="n">
        <v>1</v>
      </c>
      <c r="L22" s="8" t="n">
        <v>1799</v>
      </c>
      <c r="M22" s="8" t="n">
        <v>0.07</v>
      </c>
      <c r="N22" s="8" t="n">
        <v>1200</v>
      </c>
      <c r="O22" s="8" t="s">
        <v>41</v>
      </c>
      <c r="P22" s="8" t="s">
        <v>42</v>
      </c>
      <c r="Q22" s="8" t="s">
        <v>43</v>
      </c>
      <c r="R22" s="8" t="n">
        <v>8.8</v>
      </c>
      <c r="S22" s="8" t="n">
        <v>6</v>
      </c>
      <c r="T22" s="8" t="n">
        <v>1</v>
      </c>
      <c r="U22" s="8" t="n">
        <v>3</v>
      </c>
      <c r="V22" s="8" t="s">
        <v>44</v>
      </c>
    </row>
    <row r="23" customFormat="false" ht="15" hidden="false" customHeight="false" outlineLevel="0" collapsed="false">
      <c r="A23" s="8" t="s">
        <v>166</v>
      </c>
      <c r="B23" s="8" t="s">
        <v>167</v>
      </c>
      <c r="C23" s="8" t="s">
        <v>168</v>
      </c>
      <c r="D23" s="8" t="s">
        <v>169</v>
      </c>
      <c r="E23" s="8" t="s">
        <v>49</v>
      </c>
      <c r="F23" s="8" t="n">
        <v>42</v>
      </c>
      <c r="G23" s="8" t="s">
        <v>50</v>
      </c>
      <c r="H23" s="8" t="s">
        <v>38</v>
      </c>
      <c r="I23" s="8" t="s">
        <v>170</v>
      </c>
      <c r="J23" s="8" t="s">
        <v>52</v>
      </c>
      <c r="K23" s="8" t="n">
        <v>2</v>
      </c>
      <c r="L23" s="8" t="n">
        <v>2199</v>
      </c>
      <c r="M23" s="8" t="n">
        <v>0.12</v>
      </c>
      <c r="N23" s="8" t="n">
        <v>2500</v>
      </c>
      <c r="O23" s="8" t="s">
        <v>53</v>
      </c>
      <c r="P23" s="8" t="s">
        <v>42</v>
      </c>
      <c r="Q23" s="8" t="s">
        <v>54</v>
      </c>
      <c r="R23" s="8" t="n">
        <v>13.1</v>
      </c>
      <c r="S23" s="8" t="n">
        <v>9</v>
      </c>
      <c r="T23" s="8" t="n">
        <v>1</v>
      </c>
      <c r="U23" s="8" t="n">
        <v>5</v>
      </c>
      <c r="V23" s="8" t="s">
        <v>44</v>
      </c>
    </row>
    <row r="24" customFormat="false" ht="15" hidden="false" customHeight="false" outlineLevel="0" collapsed="false">
      <c r="A24" s="8" t="s">
        <v>171</v>
      </c>
      <c r="B24" s="8" t="s">
        <v>172</v>
      </c>
      <c r="C24" s="8" t="s">
        <v>173</v>
      </c>
      <c r="D24" s="8" t="s">
        <v>174</v>
      </c>
      <c r="E24" s="8" t="s">
        <v>36</v>
      </c>
      <c r="F24" s="8" t="n">
        <v>27</v>
      </c>
      <c r="G24" s="8" t="s">
        <v>59</v>
      </c>
      <c r="H24" s="8" t="s">
        <v>38</v>
      </c>
      <c r="I24" s="8" t="s">
        <v>175</v>
      </c>
      <c r="J24" s="8" t="s">
        <v>40</v>
      </c>
      <c r="K24" s="8" t="n">
        <v>3</v>
      </c>
      <c r="L24" s="8" t="n">
        <v>499</v>
      </c>
      <c r="M24" s="8" t="n">
        <v>0.05</v>
      </c>
      <c r="N24" s="8" t="n">
        <v>700</v>
      </c>
      <c r="O24" s="8" t="s">
        <v>41</v>
      </c>
      <c r="P24" s="8" t="s">
        <v>42</v>
      </c>
      <c r="Q24" s="8" t="s">
        <v>43</v>
      </c>
      <c r="R24" s="8" t="n">
        <v>5.9</v>
      </c>
      <c r="S24" s="8" t="n">
        <v>4</v>
      </c>
      <c r="T24" s="8" t="n">
        <v>1</v>
      </c>
      <c r="U24" s="8" t="n">
        <v>2</v>
      </c>
      <c r="V24" s="8" t="s">
        <v>44</v>
      </c>
    </row>
    <row r="25" customFormat="false" ht="15" hidden="false" customHeight="false" outlineLevel="0" collapsed="false">
      <c r="A25" s="8" t="s">
        <v>176</v>
      </c>
      <c r="B25" s="8" t="s">
        <v>177</v>
      </c>
      <c r="C25" s="8" t="s">
        <v>178</v>
      </c>
      <c r="D25" s="8" t="s">
        <v>179</v>
      </c>
      <c r="E25" s="8" t="s">
        <v>49</v>
      </c>
      <c r="F25" s="8" t="n">
        <v>31</v>
      </c>
      <c r="G25" s="8" t="s">
        <v>37</v>
      </c>
      <c r="H25" s="8" t="s">
        <v>38</v>
      </c>
      <c r="I25" s="8" t="s">
        <v>180</v>
      </c>
      <c r="J25" s="8" t="s">
        <v>96</v>
      </c>
      <c r="K25" s="8" t="n">
        <v>1</v>
      </c>
      <c r="L25" s="8" t="n">
        <v>7999</v>
      </c>
      <c r="M25" s="8" t="n">
        <v>0.1</v>
      </c>
      <c r="N25" s="8" t="n">
        <v>5900</v>
      </c>
      <c r="O25" s="8" t="s">
        <v>53</v>
      </c>
      <c r="P25" s="8" t="s">
        <v>42</v>
      </c>
      <c r="Q25" s="8" t="s">
        <v>54</v>
      </c>
      <c r="R25" s="8" t="n">
        <v>20.4</v>
      </c>
      <c r="S25" s="8" t="n">
        <v>14</v>
      </c>
      <c r="T25" s="8" t="n">
        <v>1</v>
      </c>
      <c r="U25" s="8" t="n">
        <v>5</v>
      </c>
      <c r="V25" s="8" t="s">
        <v>44</v>
      </c>
    </row>
    <row r="26" customFormat="false" ht="15" hidden="false" customHeight="false" outlineLevel="0" collapsed="false">
      <c r="A26" s="8" t="s">
        <v>181</v>
      </c>
      <c r="B26" s="8" t="s">
        <v>182</v>
      </c>
      <c r="C26" s="8" t="s">
        <v>183</v>
      </c>
      <c r="D26" s="8" t="s">
        <v>184</v>
      </c>
      <c r="E26" s="8" t="s">
        <v>36</v>
      </c>
      <c r="F26" s="8" t="n">
        <v>38</v>
      </c>
      <c r="G26" s="8" t="s">
        <v>88</v>
      </c>
      <c r="H26" s="8" t="s">
        <v>66</v>
      </c>
      <c r="I26" s="8" t="s">
        <v>185</v>
      </c>
      <c r="J26" s="8" t="s">
        <v>40</v>
      </c>
      <c r="K26" s="8" t="n">
        <v>2</v>
      </c>
      <c r="L26" s="8" t="n">
        <v>1999</v>
      </c>
      <c r="M26" s="8" t="n">
        <v>0.08</v>
      </c>
      <c r="N26" s="8" t="n">
        <v>2400</v>
      </c>
      <c r="O26" s="8" t="s">
        <v>41</v>
      </c>
      <c r="P26" s="8" t="s">
        <v>42</v>
      </c>
      <c r="Q26" s="8" t="s">
        <v>43</v>
      </c>
      <c r="R26" s="8" t="n">
        <v>11.3</v>
      </c>
      <c r="S26" s="8" t="n">
        <v>8</v>
      </c>
      <c r="T26" s="8" t="n">
        <v>1</v>
      </c>
      <c r="U26" s="8" t="n">
        <v>3</v>
      </c>
      <c r="V26" s="8" t="s">
        <v>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4"/>
    <col collapsed="false" customWidth="true" hidden="false" outlineLevel="0" max="3" min="3" style="0" width="55"/>
  </cols>
  <sheetData>
    <row r="1" customFormat="false" ht="17.35" hidden="false" customHeight="false" outlineLevel="0" collapsed="false">
      <c r="A1" s="9" t="s">
        <v>186</v>
      </c>
      <c r="B1" s="9"/>
      <c r="C1" s="9"/>
      <c r="D1" s="9"/>
    </row>
    <row r="3" customFormat="false" ht="15" hidden="false" customHeight="false" outlineLevel="0" collapsed="false">
      <c r="A3" s="10" t="s">
        <v>187</v>
      </c>
      <c r="B3" s="10" t="s">
        <v>188</v>
      </c>
      <c r="C3" s="10" t="s">
        <v>189</v>
      </c>
    </row>
    <row r="4" customFormat="false" ht="15" hidden="false" customHeight="false" outlineLevel="0" collapsed="false">
      <c r="A4" s="11" t="s">
        <v>190</v>
      </c>
      <c r="B4" s="11" t="n">
        <f aca="false">COUNTA(Raw_Data!A2:A26)</f>
        <v>25</v>
      </c>
      <c r="C4" s="12" t="s">
        <v>191</v>
      </c>
    </row>
    <row r="5" customFormat="false" ht="15" hidden="false" customHeight="false" outlineLevel="0" collapsed="false">
      <c r="A5" s="11" t="s">
        <v>192</v>
      </c>
      <c r="B5" s="11" t="n">
        <f aca="false">SUMPRODUCT((COUNTIF(Raw_Data!A2:A26,Raw_Data!A2:A26)&gt;1)*1)</f>
        <v>0</v>
      </c>
      <c r="C5" s="12" t="s">
        <v>193</v>
      </c>
    </row>
    <row r="6" customFormat="false" ht="15" hidden="false" customHeight="false" outlineLevel="0" collapsed="false">
      <c r="A6" s="11" t="s">
        <v>194</v>
      </c>
      <c r="B6" s="11" t="n">
        <f aca="false">SUMPRODUCT(--(COUNTBLANK(Raw_Data!A2:U26)&gt;0))</f>
        <v>0</v>
      </c>
      <c r="C6" s="12" t="s">
        <v>195</v>
      </c>
    </row>
    <row r="7" customFormat="false" ht="15" hidden="false" customHeight="false" outlineLevel="0" collapsed="false">
      <c r="A7" s="11" t="s">
        <v>196</v>
      </c>
      <c r="B7" s="11" t="n">
        <f aca="false">COUNTBLANK(Raw_Data!A2:A26)</f>
        <v>0</v>
      </c>
      <c r="C7" s="12" t="s">
        <v>197</v>
      </c>
    </row>
    <row r="8" customFormat="false" ht="15" hidden="false" customHeight="false" outlineLevel="0" collapsed="false">
      <c r="A8" s="11" t="s">
        <v>198</v>
      </c>
      <c r="B8" s="11" t="n">
        <f aca="false">COUNTBLANK(Raw_Data!D2:D26)</f>
        <v>0</v>
      </c>
      <c r="C8" s="12" t="s">
        <v>197</v>
      </c>
    </row>
    <row r="9" customFormat="false" ht="15" hidden="false" customHeight="false" outlineLevel="0" collapsed="false">
      <c r="A9" s="11" t="s">
        <v>199</v>
      </c>
      <c r="B9" s="11" t="n">
        <f aca="false">COUNTIF(Raw_Data!L2:L26,"&lt;=0")</f>
        <v>0</v>
      </c>
      <c r="C9" s="12" t="s">
        <v>200</v>
      </c>
    </row>
    <row r="10" customFormat="false" ht="15" hidden="false" customHeight="false" outlineLevel="0" collapsed="false">
      <c r="A10" s="11" t="s">
        <v>201</v>
      </c>
      <c r="B10" s="11" t="n">
        <f aca="false">COUNTIF(Raw_Data!M2:M26,"&gt;0.5")</f>
        <v>0</v>
      </c>
      <c r="C10" s="12" t="s">
        <v>200</v>
      </c>
    </row>
    <row r="11" customFormat="false" ht="15" hidden="false" customHeight="false" outlineLevel="0" collapsed="false">
      <c r="A11" s="11" t="s">
        <v>202</v>
      </c>
      <c r="B11" s="11" t="n">
        <f aca="false">SUMPRODUCT((COUNTIF(Raw_Data!A2:A26,Raw_Data!A2:A26)&gt;1)*1)/2</f>
        <v>0</v>
      </c>
      <c r="C11" s="12" t="s">
        <v>203</v>
      </c>
    </row>
    <row r="14" customFormat="false" ht="15" hidden="false" customHeight="false" outlineLevel="0" collapsed="false">
      <c r="A14" s="13" t="s">
        <v>204</v>
      </c>
    </row>
    <row r="15" customFormat="false" ht="15" hidden="false" customHeight="false" outlineLevel="0" collapsed="false">
      <c r="A15" s="14" t="s">
        <v>205</v>
      </c>
      <c r="B15" s="14"/>
      <c r="C15" s="14"/>
      <c r="D15" s="14"/>
      <c r="E15" s="14"/>
      <c r="F15" s="14"/>
    </row>
  </sheetData>
  <mergeCells count="2">
    <mergeCell ref="A1:D1"/>
    <mergeCell ref="A15:F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1" min="1" style="0" width="16"/>
  </cols>
  <sheetData>
    <row r="1" customFormat="false" ht="23.85" hidden="false" customHeight="false" outlineLevel="0" collapsed="false">
      <c r="A1" s="15" t="s">
        <v>10</v>
      </c>
      <c r="B1" s="15" t="s">
        <v>11</v>
      </c>
      <c r="C1" s="15" t="s">
        <v>206</v>
      </c>
      <c r="D1" s="15" t="s">
        <v>13</v>
      </c>
      <c r="E1" s="15" t="s">
        <v>207</v>
      </c>
      <c r="F1" s="15" t="s">
        <v>208</v>
      </c>
      <c r="G1" s="15" t="s">
        <v>209</v>
      </c>
      <c r="H1" s="15" t="s">
        <v>210</v>
      </c>
      <c r="I1" s="15" t="s">
        <v>23</v>
      </c>
      <c r="J1" s="15" t="s">
        <v>211</v>
      </c>
      <c r="K1" s="15" t="s">
        <v>212</v>
      </c>
    </row>
    <row r="2" customFormat="false" ht="15" hidden="false" customHeight="false" outlineLevel="0" collapsed="false">
      <c r="A2" s="8" t="str">
        <f aca="false">Raw_Data!A2</f>
        <v>ORD1001</v>
      </c>
      <c r="B2" s="8" t="str">
        <f aca="false">Raw_Data!B2</f>
        <v>2026-01-03</v>
      </c>
      <c r="C2" s="8" t="n">
        <f aca="false">VALUE(LEFT(Raw_Data!C2,FIND(":",Raw_Data!C2)-1))</f>
        <v>10</v>
      </c>
      <c r="D2" s="8" t="str">
        <f aca="false">Raw_Data!D2</f>
        <v>CU001</v>
      </c>
      <c r="E2" s="8" t="str">
        <f aca="false">_xlfn.IFS(Raw_Data!Q2="New","New Customer",Raw_Data!Q2="Returning","Returning Customer",TRUE(),"Unclassified")</f>
        <v>New Customer</v>
      </c>
      <c r="F2" s="8" t="str">
        <f aca="false">INDEX(Raw_Data!J:J,MATCH(A2,Raw_Data!A:A,0))</f>
        <v>Electronics</v>
      </c>
      <c r="G2" s="16" t="n">
        <f aca="false">Raw_Data!K2*Raw_Data!L2*(1-Raw_Data!M2)</f>
        <v>1518.1</v>
      </c>
      <c r="H2" s="16" t="n">
        <f aca="false">Raw_Data!K2*Raw_Data!L2*Raw_Data!M2</f>
        <v>79.9</v>
      </c>
      <c r="I2" s="16" t="n">
        <f aca="false">Raw_Data!N2</f>
        <v>1100</v>
      </c>
      <c r="J2" s="16" t="n">
        <f aca="false">G2-I2</f>
        <v>418.1</v>
      </c>
      <c r="K2" s="17" t="n">
        <f aca="false">IFERROR(J2/G2,0)</f>
        <v>0.275410052038733</v>
      </c>
    </row>
    <row r="3" customFormat="false" ht="15" hidden="false" customHeight="false" outlineLevel="0" collapsed="false">
      <c r="A3" s="8" t="str">
        <f aca="false">Raw_Data!A3</f>
        <v>ORD1002</v>
      </c>
      <c r="B3" s="8" t="str">
        <f aca="false">Raw_Data!B3</f>
        <v>2026-01-04</v>
      </c>
      <c r="C3" s="8" t="n">
        <f aca="false">VALUE(LEFT(Raw_Data!C3,FIND(":",Raw_Data!C3)-1))</f>
        <v>14</v>
      </c>
      <c r="D3" s="8" t="str">
        <f aca="false">Raw_Data!D3</f>
        <v>CU002</v>
      </c>
      <c r="E3" s="8" t="str">
        <f aca="false">_xlfn.IFS(Raw_Data!Q3="New","New Customer",Raw_Data!Q3="Returning","Returning Customer",TRUE(),"Unclassified")</f>
        <v>Returning Customer</v>
      </c>
      <c r="F3" s="8" t="str">
        <f aca="false">INDEX(Raw_Data!J:J,MATCH(A3,Raw_Data!A:A,0))</f>
        <v>Fashion</v>
      </c>
      <c r="G3" s="16" t="n">
        <f aca="false">Raw_Data!K3*Raw_Data!L3*(1-Raw_Data!M3)</f>
        <v>2249.1</v>
      </c>
      <c r="H3" s="16" t="n">
        <f aca="false">Raw_Data!K3*Raw_Data!L3*Raw_Data!M3</f>
        <v>249.9</v>
      </c>
      <c r="I3" s="16" t="n">
        <f aca="false">Raw_Data!N3</f>
        <v>1500</v>
      </c>
      <c r="J3" s="16" t="n">
        <f aca="false">G3-I3</f>
        <v>749.1</v>
      </c>
      <c r="K3" s="17" t="n">
        <f aca="false">IFERROR(J3/G3,0)</f>
        <v>0.333066559957316</v>
      </c>
    </row>
    <row r="4" customFormat="false" ht="15" hidden="false" customHeight="false" outlineLevel="0" collapsed="false">
      <c r="A4" s="8" t="str">
        <f aca="false">Raw_Data!A4</f>
        <v>ORD1003</v>
      </c>
      <c r="B4" s="8" t="str">
        <f aca="false">Raw_Data!B4</f>
        <v>2026-01-05</v>
      </c>
      <c r="C4" s="8" t="n">
        <f aca="false">VALUE(LEFT(Raw_Data!C4,FIND(":",Raw_Data!C4)-1))</f>
        <v>19</v>
      </c>
      <c r="D4" s="8" t="str">
        <f aca="false">Raw_Data!D4</f>
        <v>CU003</v>
      </c>
      <c r="E4" s="8" t="str">
        <f aca="false">_xlfn.IFS(Raw_Data!Q4="New","New Customer",Raw_Data!Q4="Returning","Returning Customer",TRUE(),"Unclassified")</f>
        <v>New Customer</v>
      </c>
      <c r="F4" s="8" t="str">
        <f aca="false">INDEX(Raw_Data!J:J,MATCH(A4,Raw_Data!A:A,0))</f>
        <v>Electronics</v>
      </c>
      <c r="G4" s="16" t="n">
        <f aca="false">Raw_Data!K4*Raw_Data!L4*(1-Raw_Data!M4)</f>
        <v>3679.08</v>
      </c>
      <c r="H4" s="16" t="n">
        <f aca="false">Raw_Data!K4*Raw_Data!L4*Raw_Data!M4</f>
        <v>319.92</v>
      </c>
      <c r="I4" s="16" t="n">
        <f aca="false">Raw_Data!N4</f>
        <v>2700</v>
      </c>
      <c r="J4" s="16" t="n">
        <f aca="false">G4-I4</f>
        <v>979.08</v>
      </c>
      <c r="K4" s="17" t="n">
        <f aca="false">IFERROR(J4/G4,0)</f>
        <v>0.266120878045598</v>
      </c>
    </row>
    <row r="5" customFormat="false" ht="15" hidden="false" customHeight="false" outlineLevel="0" collapsed="false">
      <c r="A5" s="8" t="str">
        <f aca="false">Raw_Data!A5</f>
        <v>ORD1004</v>
      </c>
      <c r="B5" s="8" t="str">
        <f aca="false">Raw_Data!B5</f>
        <v>2026-01-06</v>
      </c>
      <c r="C5" s="8" t="n">
        <f aca="false">VALUE(LEFT(Raw_Data!C5,FIND(":",Raw_Data!C5)-1))</f>
        <v>21</v>
      </c>
      <c r="D5" s="8" t="str">
        <f aca="false">Raw_Data!D5</f>
        <v>CU004</v>
      </c>
      <c r="E5" s="8" t="str">
        <f aca="false">_xlfn.IFS(Raw_Data!Q5="New","New Customer",Raw_Data!Q5="Returning","Returning Customer",TRUE(),"Unclassified")</f>
        <v>Returning Customer</v>
      </c>
      <c r="F5" s="8" t="str">
        <f aca="false">INDEX(Raw_Data!J:J,MATCH(A5,Raw_Data!A:A,0))</f>
        <v>Fashion</v>
      </c>
      <c r="G5" s="16" t="n">
        <f aca="false">Raw_Data!K5*Raw_Data!L5*(1-Raw_Data!M5)</f>
        <v>2548.3</v>
      </c>
      <c r="H5" s="16" t="n">
        <f aca="false">Raw_Data!K5*Raw_Data!L5*Raw_Data!M5</f>
        <v>449.7</v>
      </c>
      <c r="I5" s="16" t="n">
        <f aca="false">Raw_Data!N5</f>
        <v>1800</v>
      </c>
      <c r="J5" s="16" t="n">
        <f aca="false">G5-I5</f>
        <v>748.3</v>
      </c>
      <c r="K5" s="17" t="n">
        <f aca="false">IFERROR(J5/G5,0)</f>
        <v>0.293646744888749</v>
      </c>
    </row>
    <row r="6" customFormat="false" ht="15" hidden="false" customHeight="false" outlineLevel="0" collapsed="false">
      <c r="A6" s="8" t="str">
        <f aca="false">Raw_Data!A6</f>
        <v>ORD1005</v>
      </c>
      <c r="B6" s="8" t="str">
        <f aca="false">Raw_Data!B6</f>
        <v>2026-01-07</v>
      </c>
      <c r="C6" s="8" t="n">
        <f aca="false">VALUE(LEFT(Raw_Data!C6,FIND(":",Raw_Data!C6)-1))</f>
        <v>11</v>
      </c>
      <c r="D6" s="8" t="str">
        <f aca="false">Raw_Data!D6</f>
        <v>CU005</v>
      </c>
      <c r="E6" s="8" t="str">
        <f aca="false">_xlfn.IFS(Raw_Data!Q6="New","New Customer",Raw_Data!Q6="Returning","Returning Customer",TRUE(),"Unclassified")</f>
        <v>Returning Customer</v>
      </c>
      <c r="F6" s="8" t="str">
        <f aca="false">INDEX(Raw_Data!J:J,MATCH(A6,Raw_Data!A:A,0))</f>
        <v>Furniture</v>
      </c>
      <c r="G6" s="16" t="n">
        <f aca="false">Raw_Data!K6*Raw_Data!L6*(1-Raw_Data!M6)</f>
        <v>6649.05</v>
      </c>
      <c r="H6" s="16" t="n">
        <f aca="false">Raw_Data!K6*Raw_Data!L6*Raw_Data!M6</f>
        <v>349.95</v>
      </c>
      <c r="I6" s="16" t="n">
        <f aca="false">Raw_Data!N6</f>
        <v>5200</v>
      </c>
      <c r="J6" s="16" t="n">
        <f aca="false">G6-I6</f>
        <v>1449.05</v>
      </c>
      <c r="K6" s="17" t="n">
        <f aca="false">IFERROR(J6/G6,0)</f>
        <v>0.217933388980381</v>
      </c>
    </row>
    <row r="7" customFormat="false" ht="15" hidden="false" customHeight="false" outlineLevel="0" collapsed="false">
      <c r="A7" s="8" t="str">
        <f aca="false">Raw_Data!A7</f>
        <v>ORD1006</v>
      </c>
      <c r="B7" s="8" t="str">
        <f aca="false">Raw_Data!B7</f>
        <v>2026-01-08</v>
      </c>
      <c r="C7" s="8" t="n">
        <f aca="false">VALUE(LEFT(Raw_Data!C7,FIND(":",Raw_Data!C7)-1))</f>
        <v>16</v>
      </c>
      <c r="D7" s="8" t="str">
        <f aca="false">Raw_Data!D7</f>
        <v>CU006</v>
      </c>
      <c r="E7" s="8" t="str">
        <f aca="false">_xlfn.IFS(Raw_Data!Q7="New","New Customer",Raw_Data!Q7="Returning","Returning Customer",TRUE(),"Unclassified")</f>
        <v>New Customer</v>
      </c>
      <c r="F7" s="8" t="str">
        <f aca="false">INDEX(Raw_Data!J:J,MATCH(A7,Raw_Data!A:A,0))</f>
        <v>Electronics</v>
      </c>
      <c r="G7" s="16" t="n">
        <f aca="false">Raw_Data!K7*Raw_Data!L7*(1-Raw_Data!M7)</f>
        <v>2286.24</v>
      </c>
      <c r="H7" s="16" t="n">
        <f aca="false">Raw_Data!K7*Raw_Data!L7*Raw_Data!M7</f>
        <v>311.76</v>
      </c>
      <c r="I7" s="16" t="n">
        <f aca="false">Raw_Data!N7</f>
        <v>1500</v>
      </c>
      <c r="J7" s="16" t="n">
        <f aca="false">G7-I7</f>
        <v>786.24</v>
      </c>
      <c r="K7" s="17" t="n">
        <f aca="false">IFERROR(J7/G7,0)</f>
        <v>0.343900902792358</v>
      </c>
    </row>
    <row r="8" customFormat="false" ht="15" hidden="false" customHeight="false" outlineLevel="0" collapsed="false">
      <c r="A8" s="8" t="str">
        <f aca="false">Raw_Data!A8</f>
        <v>ORD1007</v>
      </c>
      <c r="B8" s="8" t="str">
        <f aca="false">Raw_Data!B8</f>
        <v>2026-01-09</v>
      </c>
      <c r="C8" s="8" t="n">
        <f aca="false">VALUE(LEFT(Raw_Data!C8,FIND(":",Raw_Data!C8)-1))</f>
        <v>20</v>
      </c>
      <c r="D8" s="8" t="str">
        <f aca="false">Raw_Data!D8</f>
        <v>CU007</v>
      </c>
      <c r="E8" s="8" t="str">
        <f aca="false">_xlfn.IFS(Raw_Data!Q8="New","New Customer",Raw_Data!Q8="Returning","Returning Customer",TRUE(),"Unclassified")</f>
        <v>Returning Customer</v>
      </c>
      <c r="F8" s="8" t="str">
        <f aca="false">INDEX(Raw_Data!J:J,MATCH(A8,Raw_Data!A:A,0))</f>
        <v>Fashion</v>
      </c>
      <c r="G8" s="16" t="n">
        <f aca="false">Raw_Data!K8*Raw_Data!L8*(1-Raw_Data!M8)</f>
        <v>5127.3</v>
      </c>
      <c r="H8" s="16" t="n">
        <f aca="false">Raw_Data!K8*Raw_Data!L8*Raw_Data!M8</f>
        <v>569.7</v>
      </c>
      <c r="I8" s="16" t="n">
        <f aca="false">Raw_Data!N8</f>
        <v>3600</v>
      </c>
      <c r="J8" s="16" t="n">
        <f aca="false">G8-I8</f>
        <v>1527.3</v>
      </c>
      <c r="K8" s="17" t="n">
        <f aca="false">IFERROR(J8/G8,0)</f>
        <v>0.29787607512726</v>
      </c>
    </row>
    <row r="9" customFormat="false" ht="15" hidden="false" customHeight="false" outlineLevel="0" collapsed="false">
      <c r="A9" s="8" t="str">
        <f aca="false">Raw_Data!A9</f>
        <v>ORD1008</v>
      </c>
      <c r="B9" s="8" t="str">
        <f aca="false">Raw_Data!B9</f>
        <v>2026-01-10</v>
      </c>
      <c r="C9" s="8" t="n">
        <f aca="false">VALUE(LEFT(Raw_Data!C9,FIND(":",Raw_Data!C9)-1))</f>
        <v>9</v>
      </c>
      <c r="D9" s="8" t="str">
        <f aca="false">Raw_Data!D9</f>
        <v>CU008</v>
      </c>
      <c r="E9" s="8" t="str">
        <f aca="false">_xlfn.IFS(Raw_Data!Q9="New","New Customer",Raw_Data!Q9="Returning","Returning Customer",TRUE(),"Unclassified")</f>
        <v>New Customer</v>
      </c>
      <c r="F9" s="8" t="str">
        <f aca="false">INDEX(Raw_Data!J:J,MATCH(A9,Raw_Data!A:A,0))</f>
        <v>Home Appliances</v>
      </c>
      <c r="G9" s="16" t="n">
        <f aca="false">Raw_Data!K9*Raw_Data!L9*(1-Raw_Data!M9)</f>
        <v>3068.07</v>
      </c>
      <c r="H9" s="16" t="n">
        <f aca="false">Raw_Data!K9*Raw_Data!L9*Raw_Data!M9</f>
        <v>230.93</v>
      </c>
      <c r="I9" s="16" t="n">
        <f aca="false">Raw_Data!N9</f>
        <v>2300</v>
      </c>
      <c r="J9" s="16" t="n">
        <f aca="false">G9-I9</f>
        <v>768.07</v>
      </c>
      <c r="K9" s="17" t="n">
        <f aca="false">IFERROR(J9/G9,0)</f>
        <v>0.250343049539287</v>
      </c>
    </row>
    <row r="10" customFormat="false" ht="15" hidden="false" customHeight="false" outlineLevel="0" collapsed="false">
      <c r="A10" s="8" t="str">
        <f aca="false">Raw_Data!A10</f>
        <v>ORD1009</v>
      </c>
      <c r="B10" s="8" t="str">
        <f aca="false">Raw_Data!B10</f>
        <v>2026-01-11</v>
      </c>
      <c r="C10" s="8" t="n">
        <f aca="false">VALUE(LEFT(Raw_Data!C10,FIND(":",Raw_Data!C10)-1))</f>
        <v>18</v>
      </c>
      <c r="D10" s="8" t="str">
        <f aca="false">Raw_Data!D10</f>
        <v>CU009</v>
      </c>
      <c r="E10" s="8" t="str">
        <f aca="false">_xlfn.IFS(Raw_Data!Q10="New","New Customer",Raw_Data!Q10="Returning","Returning Customer",TRUE(),"Unclassified")</f>
        <v>New Customer</v>
      </c>
      <c r="F10" s="8" t="str">
        <f aca="false">INDEX(Raw_Data!J:J,MATCH(A10,Raw_Data!A:A,0))</f>
        <v>Electronics</v>
      </c>
      <c r="G10" s="16" t="n">
        <f aca="false">Raw_Data!K10*Raw_Data!L10*(1-Raw_Data!M10)</f>
        <v>1709.05</v>
      </c>
      <c r="H10" s="16" t="n">
        <f aca="false">Raw_Data!K10*Raw_Data!L10*Raw_Data!M10</f>
        <v>89.95</v>
      </c>
      <c r="I10" s="16" t="n">
        <f aca="false">Raw_Data!N10</f>
        <v>1200</v>
      </c>
      <c r="J10" s="16" t="n">
        <f aca="false">G10-I10</f>
        <v>509.05</v>
      </c>
      <c r="K10" s="17" t="n">
        <f aca="false">IFERROR(J10/G10,0)</f>
        <v>0.297855533776074</v>
      </c>
    </row>
    <row r="11" customFormat="false" ht="15" hidden="false" customHeight="false" outlineLevel="0" collapsed="false">
      <c r="A11" s="8" t="str">
        <f aca="false">Raw_Data!A11</f>
        <v>ORD1010</v>
      </c>
      <c r="B11" s="8" t="str">
        <f aca="false">Raw_Data!B11</f>
        <v>2026-01-12</v>
      </c>
      <c r="C11" s="8" t="n">
        <f aca="false">VALUE(LEFT(Raw_Data!C11,FIND(":",Raw_Data!C11)-1))</f>
        <v>22</v>
      </c>
      <c r="D11" s="8" t="str">
        <f aca="false">Raw_Data!D11</f>
        <v>CU010</v>
      </c>
      <c r="E11" s="8" t="str">
        <f aca="false">_xlfn.IFS(Raw_Data!Q11="New","New Customer",Raw_Data!Q11="Returning","Returning Customer",TRUE(),"Unclassified")</f>
        <v>Returning Customer</v>
      </c>
      <c r="F11" s="8" t="str">
        <f aca="false">INDEX(Raw_Data!J:J,MATCH(A11,Raw_Data!A:A,0))</f>
        <v>Fashion</v>
      </c>
      <c r="G11" s="16" t="n">
        <f aca="false">Raw_Data!K11*Raw_Data!L11*(1-Raw_Data!M11)</f>
        <v>2463.12</v>
      </c>
      <c r="H11" s="16" t="n">
        <f aca="false">Raw_Data!K11*Raw_Data!L11*Raw_Data!M11</f>
        <v>335.88</v>
      </c>
      <c r="I11" s="16" t="n">
        <f aca="false">Raw_Data!N11</f>
        <v>1700</v>
      </c>
      <c r="J11" s="16" t="n">
        <f aca="false">G11-I11</f>
        <v>763.12</v>
      </c>
      <c r="K11" s="17" t="n">
        <f aca="false">IFERROR(J11/G11,0)</f>
        <v>0.309818441651239</v>
      </c>
    </row>
    <row r="12" customFormat="false" ht="15" hidden="false" customHeight="false" outlineLevel="0" collapsed="false">
      <c r="A12" s="8" t="str">
        <f aca="false">Raw_Data!A12</f>
        <v>ORD1011</v>
      </c>
      <c r="B12" s="8" t="str">
        <f aca="false">Raw_Data!B12</f>
        <v>2026-01-13</v>
      </c>
      <c r="C12" s="8" t="n">
        <f aca="false">VALUE(LEFT(Raw_Data!C12,FIND(":",Raw_Data!C12)-1))</f>
        <v>13</v>
      </c>
      <c r="D12" s="8" t="str">
        <f aca="false">Raw_Data!D12</f>
        <v>CU011</v>
      </c>
      <c r="E12" s="8" t="str">
        <f aca="false">_xlfn.IFS(Raw_Data!Q12="New","New Customer",Raw_Data!Q12="Returning","Returning Customer",TRUE(),"Unclassified")</f>
        <v>Returning Customer</v>
      </c>
      <c r="F12" s="8" t="str">
        <f aca="false">INDEX(Raw_Data!J:J,MATCH(A12,Raw_Data!A:A,0))</f>
        <v>Electronics</v>
      </c>
      <c r="G12" s="16" t="n">
        <f aca="false">Raw_Data!K12*Raw_Data!L12*(1-Raw_Data!M12)</f>
        <v>8279.08</v>
      </c>
      <c r="H12" s="16" t="n">
        <f aca="false">Raw_Data!K12*Raw_Data!L12*Raw_Data!M12</f>
        <v>719.92</v>
      </c>
      <c r="I12" s="16" t="n">
        <f aca="false">Raw_Data!N12</f>
        <v>6900</v>
      </c>
      <c r="J12" s="16" t="n">
        <f aca="false">G12-I12</f>
        <v>1379.08</v>
      </c>
      <c r="K12" s="17" t="n">
        <f aca="false">IFERROR(J12/G12,0)</f>
        <v>0.166574063784865</v>
      </c>
    </row>
    <row r="13" customFormat="false" ht="15" hidden="false" customHeight="false" outlineLevel="0" collapsed="false">
      <c r="A13" s="8" t="str">
        <f aca="false">Raw_Data!A13</f>
        <v>ORD1012</v>
      </c>
      <c r="B13" s="8" t="str">
        <f aca="false">Raw_Data!B13</f>
        <v>2026-01-14</v>
      </c>
      <c r="C13" s="8" t="n">
        <f aca="false">VALUE(LEFT(Raw_Data!C13,FIND(":",Raw_Data!C13)-1))</f>
        <v>17</v>
      </c>
      <c r="D13" s="8" t="str">
        <f aca="false">Raw_Data!D13</f>
        <v>CU012</v>
      </c>
      <c r="E13" s="8" t="str">
        <f aca="false">_xlfn.IFS(Raw_Data!Q13="New","New Customer",Raw_Data!Q13="Returning","Returning Customer",TRUE(),"Unclassified")</f>
        <v>New Customer</v>
      </c>
      <c r="F13" s="8" t="str">
        <f aca="false">INDEX(Raw_Data!J:J,MATCH(A13,Raw_Data!A:A,0))</f>
        <v>Sports</v>
      </c>
      <c r="G13" s="16" t="n">
        <f aca="false">Raw_Data!K13*Raw_Data!L13*(1-Raw_Data!M13)</f>
        <v>1708.1</v>
      </c>
      <c r="H13" s="16" t="n">
        <f aca="false">Raw_Data!K13*Raw_Data!L13*Raw_Data!M13</f>
        <v>89.9</v>
      </c>
      <c r="I13" s="16" t="n">
        <f aca="false">Raw_Data!N13</f>
        <v>1000</v>
      </c>
      <c r="J13" s="16" t="n">
        <f aca="false">G13-I13</f>
        <v>708.1</v>
      </c>
      <c r="K13" s="17" t="n">
        <f aca="false">IFERROR(J13/G13,0)</f>
        <v>0.414554183010362</v>
      </c>
    </row>
    <row r="14" customFormat="false" ht="15" hidden="false" customHeight="false" outlineLevel="0" collapsed="false">
      <c r="A14" s="8" t="str">
        <f aca="false">Raw_Data!A14</f>
        <v>ORD1013</v>
      </c>
      <c r="B14" s="8" t="str">
        <f aca="false">Raw_Data!B14</f>
        <v>2026-01-15</v>
      </c>
      <c r="C14" s="8" t="n">
        <f aca="false">VALUE(LEFT(Raw_Data!C14,FIND(":",Raw_Data!C14)-1))</f>
        <v>20</v>
      </c>
      <c r="D14" s="8" t="str">
        <f aca="false">Raw_Data!D14</f>
        <v>CU013</v>
      </c>
      <c r="E14" s="8" t="str">
        <f aca="false">_xlfn.IFS(Raw_Data!Q14="New","New Customer",Raw_Data!Q14="Returning","Returning Customer",TRUE(),"Unclassified")</f>
        <v>Returning Customer</v>
      </c>
      <c r="F14" s="8" t="str">
        <f aca="false">INDEX(Raw_Data!J:J,MATCH(A14,Raw_Data!A:A,0))</f>
        <v>Home Appliances</v>
      </c>
      <c r="G14" s="16" t="n">
        <f aca="false">Raw_Data!K14*Raw_Data!L14*(1-Raw_Data!M14)</f>
        <v>4949.1</v>
      </c>
      <c r="H14" s="16" t="n">
        <f aca="false">Raw_Data!K14*Raw_Data!L14*Raw_Data!M14</f>
        <v>549.9</v>
      </c>
      <c r="I14" s="16" t="n">
        <f aca="false">Raw_Data!N14</f>
        <v>3900</v>
      </c>
      <c r="J14" s="16" t="n">
        <f aca="false">G14-I14</f>
        <v>1049.1</v>
      </c>
      <c r="K14" s="17" t="n">
        <f aca="false">IFERROR(J14/G14,0)</f>
        <v>0.211977935382191</v>
      </c>
    </row>
    <row r="15" customFormat="false" ht="15" hidden="false" customHeight="false" outlineLevel="0" collapsed="false">
      <c r="A15" s="8" t="str">
        <f aca="false">Raw_Data!A15</f>
        <v>ORD1014</v>
      </c>
      <c r="B15" s="8" t="str">
        <f aca="false">Raw_Data!B15</f>
        <v>2026-01-16</v>
      </c>
      <c r="C15" s="8" t="n">
        <f aca="false">VALUE(LEFT(Raw_Data!C15,FIND(":",Raw_Data!C15)-1))</f>
        <v>12</v>
      </c>
      <c r="D15" s="8" t="str">
        <f aca="false">Raw_Data!D15</f>
        <v>CU014</v>
      </c>
      <c r="E15" s="8" t="str">
        <f aca="false">_xlfn.IFS(Raw_Data!Q15="New","New Customer",Raw_Data!Q15="Returning","Returning Customer",TRUE(),"Unclassified")</f>
        <v>New Customer</v>
      </c>
      <c r="F15" s="8" t="str">
        <f aca="false">INDEX(Raw_Data!J:J,MATCH(A15,Raw_Data!A:A,0))</f>
        <v>Electronics</v>
      </c>
      <c r="G15" s="16" t="n">
        <f aca="false">Raw_Data!K15*Raw_Data!L15*(1-Raw_Data!M15)</f>
        <v>17859.06</v>
      </c>
      <c r="H15" s="16" t="n">
        <f aca="false">Raw_Data!K15*Raw_Data!L15*Raw_Data!M15</f>
        <v>1139.94</v>
      </c>
      <c r="I15" s="16" t="n">
        <f aca="false">Raw_Data!N15</f>
        <v>15500</v>
      </c>
      <c r="J15" s="16" t="n">
        <f aca="false">G15-I15</f>
        <v>2359.06</v>
      </c>
      <c r="K15" s="17" t="n">
        <f aca="false">IFERROR(J15/G15,0)</f>
        <v>0.132093178476359</v>
      </c>
    </row>
    <row r="16" customFormat="false" ht="15" hidden="false" customHeight="false" outlineLevel="0" collapsed="false">
      <c r="A16" s="8" t="str">
        <f aca="false">Raw_Data!A16</f>
        <v>ORD1015</v>
      </c>
      <c r="B16" s="8" t="str">
        <f aca="false">Raw_Data!B16</f>
        <v>2026-01-17</v>
      </c>
      <c r="C16" s="8" t="n">
        <f aca="false">VALUE(LEFT(Raw_Data!C16,FIND(":",Raw_Data!C16)-1))</f>
        <v>19</v>
      </c>
      <c r="D16" s="8" t="str">
        <f aca="false">Raw_Data!D16</f>
        <v>CU015</v>
      </c>
      <c r="E16" s="8" t="str">
        <f aca="false">_xlfn.IFS(Raw_Data!Q16="New","New Customer",Raw_Data!Q16="Returning","Returning Customer",TRUE(),"Unclassified")</f>
        <v>New Customer</v>
      </c>
      <c r="F16" s="8" t="str">
        <f aca="false">INDEX(Raw_Data!J:J,MATCH(A16,Raw_Data!A:A,0))</f>
        <v>Fashion</v>
      </c>
      <c r="G16" s="16" t="n">
        <f aca="false">Raw_Data!K16*Raw_Data!L16*(1-Raw_Data!M16)</f>
        <v>2716.6</v>
      </c>
      <c r="H16" s="16" t="n">
        <f aca="false">Raw_Data!K16*Raw_Data!L16*Raw_Data!M16</f>
        <v>479.4</v>
      </c>
      <c r="I16" s="16" t="n">
        <f aca="false">Raw_Data!N16</f>
        <v>1900</v>
      </c>
      <c r="J16" s="16" t="n">
        <f aca="false">G16-I16</f>
        <v>816.6</v>
      </c>
      <c r="K16" s="17" t="n">
        <f aca="false">IFERROR(J16/G16,0)</f>
        <v>0.30059633365236</v>
      </c>
    </row>
    <row r="17" customFormat="false" ht="15" hidden="false" customHeight="false" outlineLevel="0" collapsed="false">
      <c r="A17" s="8" t="str">
        <f aca="false">Raw_Data!A17</f>
        <v>ORD1016</v>
      </c>
      <c r="B17" s="8" t="str">
        <f aca="false">Raw_Data!B17</f>
        <v>2026-01-18</v>
      </c>
      <c r="C17" s="8" t="n">
        <f aca="false">VALUE(LEFT(Raw_Data!C17,FIND(":",Raw_Data!C17)-1))</f>
        <v>15</v>
      </c>
      <c r="D17" s="8" t="str">
        <f aca="false">Raw_Data!D17</f>
        <v>CU016</v>
      </c>
      <c r="E17" s="8" t="str">
        <f aca="false">_xlfn.IFS(Raw_Data!Q17="New","New Customer",Raw_Data!Q17="Returning","Returning Customer",TRUE(),"Unclassified")</f>
        <v>Returning Customer</v>
      </c>
      <c r="F17" s="8" t="str">
        <f aca="false">INDEX(Raw_Data!J:J,MATCH(A17,Raw_Data!A:A,0))</f>
        <v>Home Appliances</v>
      </c>
      <c r="G17" s="16" t="n">
        <f aca="false">Raw_Data!K17*Raw_Data!L17*(1-Raw_Data!M17)</f>
        <v>2278.1</v>
      </c>
      <c r="H17" s="16" t="n">
        <f aca="false">Raw_Data!K17*Raw_Data!L17*Raw_Data!M17</f>
        <v>119.9</v>
      </c>
      <c r="I17" s="16" t="n">
        <f aca="false">Raw_Data!N17</f>
        <v>1300</v>
      </c>
      <c r="J17" s="16" t="n">
        <f aca="false">G17-I17</f>
        <v>978.1</v>
      </c>
      <c r="K17" s="17" t="n">
        <f aca="false">IFERROR(J17/G17,0)</f>
        <v>0.429349018919275</v>
      </c>
    </row>
    <row r="18" customFormat="false" ht="15" hidden="false" customHeight="false" outlineLevel="0" collapsed="false">
      <c r="A18" s="8" t="str">
        <f aca="false">Raw_Data!A18</f>
        <v>ORD1017</v>
      </c>
      <c r="B18" s="8" t="str">
        <f aca="false">Raw_Data!B18</f>
        <v>2026-01-19</v>
      </c>
      <c r="C18" s="8" t="n">
        <f aca="false">VALUE(LEFT(Raw_Data!C18,FIND(":",Raw_Data!C18)-1))</f>
        <v>21</v>
      </c>
      <c r="D18" s="8" t="str">
        <f aca="false">Raw_Data!D18</f>
        <v>CU017</v>
      </c>
      <c r="E18" s="8" t="str">
        <f aca="false">_xlfn.IFS(Raw_Data!Q18="New","New Customer",Raw_Data!Q18="Returning","Returning Customer",TRUE(),"Unclassified")</f>
        <v>Returning Customer</v>
      </c>
      <c r="F18" s="8" t="str">
        <f aca="false">INDEX(Raw_Data!J:J,MATCH(A18,Raw_Data!A:A,0))</f>
        <v>Electronics</v>
      </c>
      <c r="G18" s="16" t="n">
        <f aca="false">Raw_Data!K18*Raw_Data!L18*(1-Raw_Data!M18)</f>
        <v>2878.2</v>
      </c>
      <c r="H18" s="16" t="n">
        <f aca="false">Raw_Data!K18*Raw_Data!L18*Raw_Data!M18</f>
        <v>319.8</v>
      </c>
      <c r="I18" s="16" t="n">
        <f aca="false">Raw_Data!N18</f>
        <v>1900</v>
      </c>
      <c r="J18" s="16" t="n">
        <f aca="false">G18-I18</f>
        <v>978.2</v>
      </c>
      <c r="K18" s="17" t="n">
        <f aca="false">IFERROR(J18/G18,0)</f>
        <v>0.33986519352373</v>
      </c>
    </row>
    <row r="19" customFormat="false" ht="15" hidden="false" customHeight="false" outlineLevel="0" collapsed="false">
      <c r="A19" s="8" t="str">
        <f aca="false">Raw_Data!A19</f>
        <v>ORD1018</v>
      </c>
      <c r="B19" s="8" t="str">
        <f aca="false">Raw_Data!B19</f>
        <v>2026-01-20</v>
      </c>
      <c r="C19" s="8" t="n">
        <f aca="false">VALUE(LEFT(Raw_Data!C19,FIND(":",Raw_Data!C19)-1))</f>
        <v>10</v>
      </c>
      <c r="D19" s="8" t="str">
        <f aca="false">Raw_Data!D19</f>
        <v>CU018</v>
      </c>
      <c r="E19" s="8" t="str">
        <f aca="false">_xlfn.IFS(Raw_Data!Q19="New","New Customer",Raw_Data!Q19="Returning","Returning Customer",TRUE(),"Unclassified")</f>
        <v>New Customer</v>
      </c>
      <c r="F19" s="8" t="str">
        <f aca="false">INDEX(Raw_Data!J:J,MATCH(A19,Raw_Data!A:A,0))</f>
        <v>Fashion</v>
      </c>
      <c r="G19" s="16" t="n">
        <f aca="false">Raw_Data!K19*Raw_Data!L19*(1-Raw_Data!M19)</f>
        <v>2759.08</v>
      </c>
      <c r="H19" s="16" t="n">
        <f aca="false">Raw_Data!K19*Raw_Data!L19*Raw_Data!M19</f>
        <v>239.92</v>
      </c>
      <c r="I19" s="16" t="n">
        <f aca="false">Raw_Data!N19</f>
        <v>2100</v>
      </c>
      <c r="J19" s="16" t="n">
        <f aca="false">G19-I19</f>
        <v>659.08</v>
      </c>
      <c r="K19" s="17" t="n">
        <f aca="false">IFERROR(J19/G19,0)</f>
        <v>0.23887672702495</v>
      </c>
    </row>
    <row r="20" customFormat="false" ht="15" hidden="false" customHeight="false" outlineLevel="0" collapsed="false">
      <c r="A20" s="8" t="str">
        <f aca="false">Raw_Data!A20</f>
        <v>ORD1019</v>
      </c>
      <c r="B20" s="8" t="str">
        <f aca="false">Raw_Data!B20</f>
        <v>2026-01-21</v>
      </c>
      <c r="C20" s="8" t="n">
        <f aca="false">VALUE(LEFT(Raw_Data!C20,FIND(":",Raw_Data!C20)-1))</f>
        <v>18</v>
      </c>
      <c r="D20" s="8" t="str">
        <f aca="false">Raw_Data!D20</f>
        <v>CU019</v>
      </c>
      <c r="E20" s="8" t="str">
        <f aca="false">_xlfn.IFS(Raw_Data!Q20="New","New Customer",Raw_Data!Q20="Returning","Returning Customer",TRUE(),"Unclassified")</f>
        <v>Returning Customer</v>
      </c>
      <c r="F20" s="8" t="str">
        <f aca="false">INDEX(Raw_Data!J:J,MATCH(A20,Raw_Data!A:A,0))</f>
        <v>Books</v>
      </c>
      <c r="G20" s="16" t="n">
        <f aca="false">Raw_Data!K20*Raw_Data!L20*(1-Raw_Data!M20)</f>
        <v>2370.25</v>
      </c>
      <c r="H20" s="16" t="n">
        <f aca="false">Raw_Data!K20*Raw_Data!L20*Raw_Data!M20</f>
        <v>124.75</v>
      </c>
      <c r="I20" s="16" t="n">
        <f aca="false">Raw_Data!N20</f>
        <v>1400</v>
      </c>
      <c r="J20" s="16" t="n">
        <f aca="false">G20-I20</f>
        <v>970.25</v>
      </c>
      <c r="K20" s="17" t="n">
        <f aca="false">IFERROR(J20/G20,0)</f>
        <v>0.409345005801076</v>
      </c>
    </row>
    <row r="21" customFormat="false" ht="15" hidden="false" customHeight="false" outlineLevel="0" collapsed="false">
      <c r="A21" s="8" t="str">
        <f aca="false">Raw_Data!A21</f>
        <v>ORD1020</v>
      </c>
      <c r="B21" s="8" t="str">
        <f aca="false">Raw_Data!B21</f>
        <v>2026-01-22</v>
      </c>
      <c r="C21" s="8" t="n">
        <f aca="false">VALUE(LEFT(Raw_Data!C21,FIND(":",Raw_Data!C21)-1))</f>
        <v>20</v>
      </c>
      <c r="D21" s="8" t="str">
        <f aca="false">Raw_Data!D21</f>
        <v>CU020</v>
      </c>
      <c r="E21" s="8" t="str">
        <f aca="false">_xlfn.IFS(Raw_Data!Q21="New","New Customer",Raw_Data!Q21="Returning","Returning Customer",TRUE(),"Unclassified")</f>
        <v>Returning Customer</v>
      </c>
      <c r="F21" s="8" t="str">
        <f aca="false">INDEX(Raw_Data!J:J,MATCH(A21,Raw_Data!A:A,0))</f>
        <v>Electronics</v>
      </c>
      <c r="G21" s="16" t="n">
        <f aca="false">Raw_Data!K21*Raw_Data!L21*(1-Raw_Data!M21)</f>
        <v>2249.1</v>
      </c>
      <c r="H21" s="16" t="n">
        <f aca="false">Raw_Data!K21*Raw_Data!L21*Raw_Data!M21</f>
        <v>249.9</v>
      </c>
      <c r="I21" s="16" t="n">
        <f aca="false">Raw_Data!N21</f>
        <v>1600</v>
      </c>
      <c r="J21" s="16" t="n">
        <f aca="false">G21-I21</f>
        <v>649.1</v>
      </c>
      <c r="K21" s="17" t="n">
        <f aca="false">IFERROR(J21/G21,0)</f>
        <v>0.288604330621137</v>
      </c>
    </row>
    <row r="22" customFormat="false" ht="15" hidden="false" customHeight="false" outlineLevel="0" collapsed="false">
      <c r="A22" s="8" t="str">
        <f aca="false">Raw_Data!A22</f>
        <v>ORD1021</v>
      </c>
      <c r="B22" s="8" t="str">
        <f aca="false">Raw_Data!B22</f>
        <v>2026-01-23</v>
      </c>
      <c r="C22" s="8" t="n">
        <f aca="false">VALUE(LEFT(Raw_Data!C22,FIND(":",Raw_Data!C22)-1))</f>
        <v>11</v>
      </c>
      <c r="D22" s="8" t="str">
        <f aca="false">Raw_Data!D22</f>
        <v>CU021</v>
      </c>
      <c r="E22" s="8" t="str">
        <f aca="false">_xlfn.IFS(Raw_Data!Q22="New","New Customer",Raw_Data!Q22="Returning","Returning Customer",TRUE(),"Unclassified")</f>
        <v>New Customer</v>
      </c>
      <c r="F22" s="8" t="str">
        <f aca="false">INDEX(Raw_Data!J:J,MATCH(A22,Raw_Data!A:A,0))</f>
        <v>Home Appliances</v>
      </c>
      <c r="G22" s="16" t="n">
        <f aca="false">Raw_Data!K22*Raw_Data!L22*(1-Raw_Data!M22)</f>
        <v>1673.07</v>
      </c>
      <c r="H22" s="16" t="n">
        <f aca="false">Raw_Data!K22*Raw_Data!L22*Raw_Data!M22</f>
        <v>125.93</v>
      </c>
      <c r="I22" s="16" t="n">
        <f aca="false">Raw_Data!N22</f>
        <v>1200</v>
      </c>
      <c r="J22" s="16" t="n">
        <f aca="false">G22-I22</f>
        <v>473.07</v>
      </c>
      <c r="K22" s="17" t="n">
        <f aca="false">IFERROR(J22/G22,0)</f>
        <v>0.282755652782012</v>
      </c>
    </row>
    <row r="23" customFormat="false" ht="15" hidden="false" customHeight="false" outlineLevel="0" collapsed="false">
      <c r="A23" s="8" t="str">
        <f aca="false">Raw_Data!A23</f>
        <v>ORD1022</v>
      </c>
      <c r="B23" s="8" t="str">
        <f aca="false">Raw_Data!B23</f>
        <v>2026-01-24</v>
      </c>
      <c r="C23" s="8" t="n">
        <f aca="false">VALUE(LEFT(Raw_Data!C23,FIND(":",Raw_Data!C23)-1))</f>
        <v>16</v>
      </c>
      <c r="D23" s="8" t="str">
        <f aca="false">Raw_Data!D23</f>
        <v>CU022</v>
      </c>
      <c r="E23" s="8" t="str">
        <f aca="false">_xlfn.IFS(Raw_Data!Q23="New","New Customer",Raw_Data!Q23="Returning","Returning Customer",TRUE(),"Unclassified")</f>
        <v>Returning Customer</v>
      </c>
      <c r="F23" s="8" t="str">
        <f aca="false">INDEX(Raw_Data!J:J,MATCH(A23,Raw_Data!A:A,0))</f>
        <v>Fashion</v>
      </c>
      <c r="G23" s="16" t="n">
        <f aca="false">Raw_Data!K23*Raw_Data!L23*(1-Raw_Data!M23)</f>
        <v>3870.24</v>
      </c>
      <c r="H23" s="16" t="n">
        <f aca="false">Raw_Data!K23*Raw_Data!L23*Raw_Data!M23</f>
        <v>527.76</v>
      </c>
      <c r="I23" s="16" t="n">
        <f aca="false">Raw_Data!N23</f>
        <v>2500</v>
      </c>
      <c r="J23" s="16" t="n">
        <f aca="false">G23-I23</f>
        <v>1370.24</v>
      </c>
      <c r="K23" s="17" t="n">
        <f aca="false">IFERROR(J23/G23,0)</f>
        <v>0.354045227169375</v>
      </c>
    </row>
    <row r="24" customFormat="false" ht="15" hidden="false" customHeight="false" outlineLevel="0" collapsed="false">
      <c r="A24" s="8" t="str">
        <f aca="false">Raw_Data!A24</f>
        <v>ORD1023</v>
      </c>
      <c r="B24" s="8" t="str">
        <f aca="false">Raw_Data!B24</f>
        <v>2026-01-25</v>
      </c>
      <c r="C24" s="8" t="n">
        <f aca="false">VALUE(LEFT(Raw_Data!C24,FIND(":",Raw_Data!C24)-1))</f>
        <v>19</v>
      </c>
      <c r="D24" s="8" t="str">
        <f aca="false">Raw_Data!D24</f>
        <v>CU023</v>
      </c>
      <c r="E24" s="8" t="str">
        <f aca="false">_xlfn.IFS(Raw_Data!Q24="New","New Customer",Raw_Data!Q24="Returning","Returning Customer",TRUE(),"Unclassified")</f>
        <v>New Customer</v>
      </c>
      <c r="F24" s="8" t="str">
        <f aca="false">INDEX(Raw_Data!J:J,MATCH(A24,Raw_Data!A:A,0))</f>
        <v>Electronics</v>
      </c>
      <c r="G24" s="16" t="n">
        <f aca="false">Raw_Data!K24*Raw_Data!L24*(1-Raw_Data!M24)</f>
        <v>1422.15</v>
      </c>
      <c r="H24" s="16" t="n">
        <f aca="false">Raw_Data!K24*Raw_Data!L24*Raw_Data!M24</f>
        <v>74.85</v>
      </c>
      <c r="I24" s="16" t="n">
        <f aca="false">Raw_Data!N24</f>
        <v>700</v>
      </c>
      <c r="J24" s="16" t="n">
        <f aca="false">G24-I24</f>
        <v>722.15</v>
      </c>
      <c r="K24" s="17" t="n">
        <f aca="false">IFERROR(J24/G24,0)</f>
        <v>0.50778750483423</v>
      </c>
    </row>
    <row r="25" customFormat="false" ht="15" hidden="false" customHeight="false" outlineLevel="0" collapsed="false">
      <c r="A25" s="8" t="str">
        <f aca="false">Raw_Data!A25</f>
        <v>ORD1024</v>
      </c>
      <c r="B25" s="8" t="str">
        <f aca="false">Raw_Data!B25</f>
        <v>2026-01-26</v>
      </c>
      <c r="C25" s="8" t="n">
        <f aca="false">VALUE(LEFT(Raw_Data!C25,FIND(":",Raw_Data!C25)-1))</f>
        <v>21</v>
      </c>
      <c r="D25" s="8" t="str">
        <f aca="false">Raw_Data!D25</f>
        <v>CU024</v>
      </c>
      <c r="E25" s="8" t="str">
        <f aca="false">_xlfn.IFS(Raw_Data!Q25="New","New Customer",Raw_Data!Q25="Returning","Returning Customer",TRUE(),"Unclassified")</f>
        <v>Returning Customer</v>
      </c>
      <c r="F25" s="8" t="str">
        <f aca="false">INDEX(Raw_Data!J:J,MATCH(A25,Raw_Data!A:A,0))</f>
        <v>Home Appliances</v>
      </c>
      <c r="G25" s="16" t="n">
        <f aca="false">Raw_Data!K25*Raw_Data!L25*(1-Raw_Data!M25)</f>
        <v>7199.1</v>
      </c>
      <c r="H25" s="16" t="n">
        <f aca="false">Raw_Data!K25*Raw_Data!L25*Raw_Data!M25</f>
        <v>799.9</v>
      </c>
      <c r="I25" s="16" t="n">
        <f aca="false">Raw_Data!N25</f>
        <v>5900</v>
      </c>
      <c r="J25" s="16" t="n">
        <f aca="false">G25-I25</f>
        <v>1299.1</v>
      </c>
      <c r="K25" s="17" t="n">
        <f aca="false">IFERROR(J25/G25,0)</f>
        <v>0.18045311219458</v>
      </c>
    </row>
    <row r="26" customFormat="false" ht="15" hidden="false" customHeight="false" outlineLevel="0" collapsed="false">
      <c r="A26" s="8" t="str">
        <f aca="false">Raw_Data!A26</f>
        <v>ORD1025</v>
      </c>
      <c r="B26" s="8" t="str">
        <f aca="false">Raw_Data!B26</f>
        <v>2026-01-27</v>
      </c>
      <c r="C26" s="8" t="n">
        <f aca="false">VALUE(LEFT(Raw_Data!C26,FIND(":",Raw_Data!C26)-1))</f>
        <v>14</v>
      </c>
      <c r="D26" s="8" t="str">
        <f aca="false">Raw_Data!D26</f>
        <v>CU025</v>
      </c>
      <c r="E26" s="8" t="str">
        <f aca="false">_xlfn.IFS(Raw_Data!Q26="New","New Customer",Raw_Data!Q26="Returning","Returning Customer",TRUE(),"Unclassified")</f>
        <v>New Customer</v>
      </c>
      <c r="F26" s="8" t="str">
        <f aca="false">INDEX(Raw_Data!J:J,MATCH(A26,Raw_Data!A:A,0))</f>
        <v>Electronics</v>
      </c>
      <c r="G26" s="16" t="n">
        <f aca="false">Raw_Data!K26*Raw_Data!L26*(1-Raw_Data!M26)</f>
        <v>3678.16</v>
      </c>
      <c r="H26" s="16" t="n">
        <f aca="false">Raw_Data!K26*Raw_Data!L26*Raw_Data!M26</f>
        <v>319.84</v>
      </c>
      <c r="I26" s="16" t="n">
        <f aca="false">Raw_Data!N26</f>
        <v>2400</v>
      </c>
      <c r="J26" s="16" t="n">
        <f aca="false">G26-I26</f>
        <v>1278.16</v>
      </c>
      <c r="K26" s="17" t="n">
        <f aca="false">IFERROR(J26/G26,0)</f>
        <v>0.347499836874959</v>
      </c>
    </row>
    <row r="28" customFormat="false" ht="15" hidden="false" customHeight="false" outlineLevel="0" collapsed="false">
      <c r="A28" s="18" t="s">
        <v>213</v>
      </c>
      <c r="B28" s="18"/>
      <c r="C28" s="18"/>
      <c r="D28" s="18"/>
      <c r="E28" s="18"/>
      <c r="F28" s="18"/>
      <c r="G28" s="18"/>
      <c r="H28" s="18"/>
      <c r="I28" s="18"/>
      <c r="J28" s="18"/>
      <c r="K28" s="18"/>
    </row>
  </sheetData>
  <mergeCells count="1">
    <mergeCell ref="A28:K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2"/>
    <col collapsed="false" customWidth="true" hidden="false" outlineLevel="0" max="5" min="3" style="0" width="16"/>
  </cols>
  <sheetData>
    <row r="1" customFormat="false" ht="17.35" hidden="false" customHeight="false" outlineLevel="0" collapsed="false">
      <c r="A1" s="9" t="s">
        <v>214</v>
      </c>
      <c r="B1" s="9"/>
      <c r="C1" s="9"/>
      <c r="D1" s="9"/>
      <c r="E1" s="9"/>
    </row>
    <row r="2" customFormat="false" ht="15" hidden="false" customHeight="false" outlineLevel="0" collapsed="false">
      <c r="A2" s="12" t="s">
        <v>215</v>
      </c>
    </row>
    <row r="4" customFormat="false" ht="15" hidden="false" customHeight="false" outlineLevel="0" collapsed="false">
      <c r="A4" s="13" t="s">
        <v>216</v>
      </c>
    </row>
    <row r="5" customFormat="false" ht="15" hidden="false" customHeight="false" outlineLevel="0" collapsed="false">
      <c r="A5" s="10" t="s">
        <v>19</v>
      </c>
      <c r="B5" s="10" t="s">
        <v>217</v>
      </c>
      <c r="C5" s="10" t="s">
        <v>209</v>
      </c>
    </row>
    <row r="6" customFormat="false" ht="15" hidden="false" customHeight="false" outlineLevel="0" collapsed="false">
      <c r="A6" s="11" t="s">
        <v>155</v>
      </c>
      <c r="B6" s="11" t="n">
        <f aca="false">COUNTIF(Raw_Data!J2:J26,A6)</f>
        <v>1</v>
      </c>
      <c r="C6" s="19" t="n">
        <f aca="false">SUMPRODUCT((Raw_Data!J2:J26=$A6)*Raw_Data!K2:K26*Raw_Data!L2:L26*(1-Raw_Data!M2:M26))</f>
        <v>2370.25</v>
      </c>
    </row>
    <row r="7" customFormat="false" ht="15" hidden="false" customHeight="false" outlineLevel="0" collapsed="false">
      <c r="A7" s="11" t="s">
        <v>40</v>
      </c>
      <c r="B7" s="11" t="n">
        <f aca="false">COUNTIF(Raw_Data!J2:J26,A7)</f>
        <v>10</v>
      </c>
      <c r="C7" s="19" t="n">
        <f aca="false">SUMPRODUCT((Raw_Data!J2:J26=$A7)*Raw_Data!K2:K26*Raw_Data!L2:L26*(1-Raw_Data!M2:M26))</f>
        <v>45558.22</v>
      </c>
    </row>
    <row r="8" customFormat="false" ht="15" hidden="false" customHeight="false" outlineLevel="0" collapsed="false">
      <c r="A8" s="11" t="s">
        <v>52</v>
      </c>
      <c r="B8" s="11" t="n">
        <f aca="false">COUNTIF(Raw_Data!J2:J26,A8)</f>
        <v>7</v>
      </c>
      <c r="C8" s="19" t="n">
        <f aca="false">SUMPRODUCT((Raw_Data!J2:J26=$A8)*Raw_Data!K2:K26*Raw_Data!L2:L26*(1-Raw_Data!M2:M26))</f>
        <v>21733.74</v>
      </c>
    </row>
    <row r="9" customFormat="false" ht="15" hidden="false" customHeight="false" outlineLevel="0" collapsed="false">
      <c r="A9" s="11" t="s">
        <v>76</v>
      </c>
      <c r="B9" s="11" t="n">
        <f aca="false">COUNTIF(Raw_Data!J2:J26,A9)</f>
        <v>1</v>
      </c>
      <c r="C9" s="19" t="n">
        <f aca="false">SUMPRODUCT((Raw_Data!J2:J26=$A9)*Raw_Data!K2:K26*Raw_Data!L2:L26*(1-Raw_Data!M2:M26))</f>
        <v>6649.05</v>
      </c>
    </row>
    <row r="10" customFormat="false" ht="15" hidden="false" customHeight="false" outlineLevel="0" collapsed="false">
      <c r="A10" s="11" t="s">
        <v>96</v>
      </c>
      <c r="B10" s="11" t="n">
        <f aca="false">COUNTIF(Raw_Data!J2:J26,A10)</f>
        <v>5</v>
      </c>
      <c r="C10" s="19" t="n">
        <f aca="false">SUMPRODUCT((Raw_Data!J2:J26=$A10)*Raw_Data!K2:K26*Raw_Data!L2:L26*(1-Raw_Data!M2:M26))</f>
        <v>19167.44</v>
      </c>
    </row>
    <row r="11" customFormat="false" ht="15" hidden="false" customHeight="false" outlineLevel="0" collapsed="false">
      <c r="A11" s="11" t="s">
        <v>120</v>
      </c>
      <c r="B11" s="11" t="n">
        <f aca="false">COUNTIF(Raw_Data!J2:J26,A11)</f>
        <v>1</v>
      </c>
      <c r="C11" s="19" t="n">
        <f aca="false">SUMPRODUCT((Raw_Data!J2:J26=$A11)*Raw_Data!K2:K26*Raw_Data!L2:L26*(1-Raw_Data!M2:M26))</f>
        <v>1708.1</v>
      </c>
    </row>
    <row r="14" customFormat="false" ht="15" hidden="false" customHeight="false" outlineLevel="0" collapsed="false">
      <c r="A14" s="13" t="s">
        <v>218</v>
      </c>
    </row>
    <row r="15" customFormat="false" ht="15" hidden="false" customHeight="false" outlineLevel="0" collapsed="false">
      <c r="A15" s="10" t="s">
        <v>17</v>
      </c>
      <c r="B15" s="10" t="s">
        <v>217</v>
      </c>
      <c r="C15" s="10" t="s">
        <v>209</v>
      </c>
    </row>
    <row r="16" customFormat="false" ht="15" hidden="false" customHeight="false" outlineLevel="0" collapsed="false">
      <c r="A16" s="11" t="s">
        <v>102</v>
      </c>
      <c r="B16" s="11" t="n">
        <f aca="false">COUNTIF(Raw_Data!H2:H26,A16)</f>
        <v>2</v>
      </c>
      <c r="C16" s="19" t="n">
        <f aca="false">SUMPRODUCT((Raw_Data!H2:H26=$A16)*Raw_Data!K2:K26*Raw_Data!L2:L26*(1-Raw_Data!M2:M26))</f>
        <v>4468.13</v>
      </c>
    </row>
    <row r="17" customFormat="false" ht="15" hidden="false" customHeight="false" outlineLevel="0" collapsed="false">
      <c r="A17" s="11" t="s">
        <v>74</v>
      </c>
      <c r="B17" s="11" t="n">
        <f aca="false">COUNTIF(Raw_Data!H2:H26,A17)</f>
        <v>3</v>
      </c>
      <c r="C17" s="19" t="n">
        <f aca="false">SUMPRODUCT((Raw_Data!H2:H26=$A17)*Raw_Data!K2:K26*Raw_Data!L2:L26*(1-Raw_Data!M2:M26))</f>
        <v>17298.38</v>
      </c>
    </row>
    <row r="18" customFormat="false" ht="15" hidden="false" customHeight="false" outlineLevel="0" collapsed="false">
      <c r="A18" s="11" t="s">
        <v>38</v>
      </c>
      <c r="B18" s="11" t="n">
        <f aca="false">COUNTIF(Raw_Data!H2:H26,A18)</f>
        <v>14</v>
      </c>
      <c r="C18" s="19" t="n">
        <f aca="false">SUMPRODUCT((Raw_Data!H2:H26=$A18)*Raw_Data!K2:K26*Raw_Data!L2:L26*(1-Raw_Data!M2:M26))</f>
        <v>54151.73</v>
      </c>
    </row>
    <row r="19" customFormat="false" ht="15" hidden="false" customHeight="false" outlineLevel="0" collapsed="false">
      <c r="A19" s="11" t="s">
        <v>66</v>
      </c>
      <c r="B19" s="11" t="n">
        <f aca="false">COUNTIF(Raw_Data!H2:H26,A19)</f>
        <v>6</v>
      </c>
      <c r="C19" s="19" t="n">
        <f aca="false">SUMPRODUCT((Raw_Data!H2:H26=$A19)*Raw_Data!K2:K26*Raw_Data!L2:L26*(1-Raw_Data!M2:M26))</f>
        <v>21268.56</v>
      </c>
    </row>
    <row r="22" customFormat="false" ht="15" hidden="false" customHeight="false" outlineLevel="0" collapsed="false">
      <c r="A22" s="13" t="s">
        <v>219</v>
      </c>
    </row>
    <row r="23" customFormat="false" ht="15" hidden="false" customHeight="false" outlineLevel="0" collapsed="false">
      <c r="A23" s="10" t="s">
        <v>26</v>
      </c>
      <c r="B23" s="10" t="s">
        <v>217</v>
      </c>
      <c r="C23" s="10" t="s">
        <v>209</v>
      </c>
    </row>
    <row r="24" customFormat="false" ht="15" hidden="false" customHeight="false" outlineLevel="0" collapsed="false">
      <c r="A24" s="11" t="s">
        <v>43</v>
      </c>
      <c r="B24" s="11" t="n">
        <f aca="false">COUNTIF(Raw_Data!Q2:Q26,A24)</f>
        <v>12</v>
      </c>
      <c r="C24" s="19" t="n">
        <f aca="false">SUMPRODUCT((Raw_Data!Q2:Q26=$A24)*Raw_Data!K2:K26*Raw_Data!L2:L26*(1-Raw_Data!M2:M26))</f>
        <v>44076.76</v>
      </c>
    </row>
    <row r="25" customFormat="false" ht="15" hidden="false" customHeight="false" outlineLevel="0" collapsed="false">
      <c r="A25" s="11" t="s">
        <v>54</v>
      </c>
      <c r="B25" s="11" t="n">
        <f aca="false">COUNTIF(Raw_Data!Q2:Q26,A25)</f>
        <v>13</v>
      </c>
      <c r="C25" s="19" t="n">
        <f aca="false">SUMPRODUCT((Raw_Data!Q2:Q26=$A25)*Raw_Data!K2:K26*Raw_Data!L2:L26*(1-Raw_Data!M2:M26))</f>
        <v>53110.04</v>
      </c>
    </row>
    <row r="28" customFormat="false" ht="15" hidden="false" customHeight="false" outlineLevel="0" collapsed="false">
      <c r="A28" s="13" t="s">
        <v>220</v>
      </c>
    </row>
    <row r="29" customFormat="false" ht="15" hidden="false" customHeight="false" outlineLevel="0" collapsed="false">
      <c r="A29" s="10" t="s">
        <v>24</v>
      </c>
      <c r="B29" s="10" t="s">
        <v>217</v>
      </c>
    </row>
    <row r="30" customFormat="false" ht="15" hidden="false" customHeight="false" outlineLevel="0" collapsed="false">
      <c r="A30" s="11" t="s">
        <v>53</v>
      </c>
      <c r="B30" s="11" t="n">
        <f aca="false">COUNTIFS(Raw_Data!O2:O26,A30)</f>
        <v>11</v>
      </c>
    </row>
    <row r="31" customFormat="false" ht="15" hidden="false" customHeight="false" outlineLevel="0" collapsed="false">
      <c r="A31" s="11" t="s">
        <v>77</v>
      </c>
      <c r="B31" s="11" t="n">
        <f aca="false">COUNTIFS(Raw_Data!O2:O26,A31)</f>
        <v>2</v>
      </c>
    </row>
    <row r="32" customFormat="false" ht="15" hidden="false" customHeight="false" outlineLevel="0" collapsed="false">
      <c r="A32" s="11" t="s">
        <v>41</v>
      </c>
      <c r="B32" s="11" t="n">
        <f aca="false">COUNTIFS(Raw_Data!O2:O26,A32)</f>
        <v>12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2026-08-20T04:34:16Z</dcterms:created>
  <dc:creator>openpyxl</dc:creator>
  <dc:description/>
  <dc:language>en-US</dc:language>
  <cp:lastModifiedBy/>
  <dcterms:modified xsi:type="dcterms:W3CDTF">2026-08-20T04:34:18Z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